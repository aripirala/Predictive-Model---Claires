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60" yWindow="645" windowWidth="27315" windowHeight="12285"/>
  </bookViews>
  <sheets>
    <sheet name="Alpha_0.1" sheetId="1" r:id="rId1"/>
    <sheet name="Variable Look Up" sheetId="2" r:id="rId2"/>
    <sheet name="PowerBi_Data" sheetId="3" r:id="rId3"/>
    <sheet name="PowerBi_Input" sheetId="4" r:id="rId4"/>
  </sheets>
  <definedNames>
    <definedName name="_xlnm._FilterDatabase" localSheetId="0" hidden="1">Alpha_0.1!$A$1:$F$152</definedName>
    <definedName name="_xlnm._FilterDatabase" localSheetId="1" hidden="1">'Variable Look Up'!$A$1:$C$239</definedName>
  </definedNames>
  <calcPr calcId="145621"/>
  <pivotCaches>
    <pivotCache cacheId="39" r:id="rId5"/>
  </pivotCaches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2" i="1"/>
  <c r="A12" i="4" l="1"/>
  <c r="B12" i="4"/>
  <c r="C12" i="4"/>
  <c r="F2" i="1"/>
  <c r="F131" i="1"/>
  <c r="F127" i="1"/>
  <c r="F123" i="1"/>
  <c r="F120" i="1"/>
  <c r="F119" i="1"/>
  <c r="F115" i="1"/>
  <c r="F112" i="1"/>
  <c r="F111" i="1"/>
  <c r="F107" i="1"/>
  <c r="F104" i="1"/>
  <c r="F103" i="1"/>
  <c r="F99" i="1"/>
  <c r="F95" i="1"/>
  <c r="F92" i="1"/>
  <c r="F91" i="1"/>
  <c r="F87" i="1"/>
  <c r="F86" i="1"/>
  <c r="F84" i="1"/>
  <c r="F83" i="1"/>
  <c r="F82" i="1"/>
  <c r="F80" i="1"/>
  <c r="F79" i="1"/>
  <c r="F78" i="1"/>
  <c r="F76" i="1"/>
  <c r="F75" i="1"/>
  <c r="F74" i="1"/>
  <c r="F72" i="1"/>
  <c r="F71" i="1"/>
  <c r="F70" i="1"/>
  <c r="F68" i="1"/>
  <c r="F67" i="1"/>
  <c r="F66" i="1"/>
  <c r="F64" i="1"/>
  <c r="F63" i="1"/>
  <c r="F62" i="1"/>
  <c r="F60" i="1"/>
  <c r="F59" i="1"/>
  <c r="F58" i="1"/>
  <c r="F56" i="1"/>
  <c r="F55" i="1"/>
  <c r="F54" i="1"/>
  <c r="F52" i="1"/>
  <c r="F51" i="1"/>
  <c r="F50" i="1"/>
  <c r="F48" i="1"/>
  <c r="F47" i="1"/>
  <c r="F46" i="1"/>
  <c r="F44" i="1"/>
  <c r="F43" i="1"/>
  <c r="F42" i="1"/>
  <c r="F40" i="1"/>
  <c r="F39" i="1"/>
  <c r="F38" i="1"/>
  <c r="F36" i="1"/>
  <c r="F35" i="1"/>
  <c r="F34" i="1"/>
  <c r="F32" i="1"/>
  <c r="F31" i="1"/>
  <c r="F30" i="1"/>
  <c r="F28" i="1"/>
  <c r="F27" i="1"/>
  <c r="F26" i="1"/>
  <c r="F25" i="1"/>
  <c r="F24" i="1"/>
  <c r="F23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89" i="1"/>
  <c r="F93" i="1"/>
  <c r="F97" i="1"/>
  <c r="F100" i="1"/>
  <c r="F101" i="1"/>
  <c r="F105" i="1"/>
  <c r="F108" i="1"/>
  <c r="F109" i="1"/>
  <c r="F113" i="1"/>
  <c r="F116" i="1"/>
  <c r="F117" i="1"/>
  <c r="F121" i="1"/>
  <c r="F124" i="1"/>
  <c r="F125" i="1"/>
  <c r="F128" i="1"/>
  <c r="F129" i="1"/>
  <c r="C3" i="4"/>
  <c r="C4" i="4"/>
  <c r="C5" i="4"/>
  <c r="C6" i="4"/>
  <c r="C7" i="4"/>
  <c r="C8" i="4"/>
  <c r="C9" i="4"/>
  <c r="C10" i="4"/>
  <c r="C11" i="4"/>
  <c r="C2" i="4"/>
  <c r="B3" i="4"/>
  <c r="B4" i="4"/>
  <c r="B5" i="4"/>
  <c r="B6" i="4"/>
  <c r="B7" i="4"/>
  <c r="B8" i="4"/>
  <c r="B9" i="4"/>
  <c r="B10" i="4"/>
  <c r="B11" i="4"/>
  <c r="B2" i="4"/>
  <c r="A3" i="4"/>
  <c r="A4" i="4"/>
  <c r="A5" i="4"/>
  <c r="A6" i="4"/>
  <c r="A7" i="4"/>
  <c r="A8" i="4"/>
  <c r="A9" i="4"/>
  <c r="A10" i="4"/>
  <c r="A11" i="4"/>
  <c r="A2" i="4"/>
  <c r="F22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8" i="1"/>
  <c r="F90" i="1"/>
  <c r="F94" i="1"/>
  <c r="F96" i="1"/>
  <c r="F98" i="1"/>
  <c r="F102" i="1"/>
  <c r="F106" i="1"/>
  <c r="F110" i="1"/>
  <c r="F114" i="1"/>
  <c r="F118" i="1"/>
  <c r="F122" i="1"/>
  <c r="F126" i="1"/>
  <c r="F130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</calcChain>
</file>

<file path=xl/sharedStrings.xml><?xml version="1.0" encoding="utf-8"?>
<sst xmlns="http://schemas.openxmlformats.org/spreadsheetml/2006/main" count="1020" uniqueCount="318">
  <si>
    <t>Features</t>
  </si>
  <si>
    <t>Score</t>
  </si>
  <si>
    <t>Intercept</t>
  </si>
  <si>
    <t>Open Hours</t>
  </si>
  <si>
    <t>Labour Hours</t>
  </si>
  <si>
    <t xml:space="preserve">Holiday_Event_Ash Wednesday </t>
  </si>
  <si>
    <t>Holiday_Event_Bank Holiday (Scot &amp; Ni)</t>
  </si>
  <si>
    <t>Holiday_Event_Black Friday</t>
  </si>
  <si>
    <t>Holiday_Event_Bonfire Night</t>
  </si>
  <si>
    <t>Holiday_Event_Boxing Day (Bhol)</t>
  </si>
  <si>
    <t>Holiday_Event_Christmas Eve</t>
  </si>
  <si>
    <t xml:space="preserve">Holiday_Event_Comic Relief  </t>
  </si>
  <si>
    <t>Holiday_Event_Diwali</t>
  </si>
  <si>
    <t>Holiday_Event_Easter Sunday</t>
  </si>
  <si>
    <t>Holiday_Event_Eid</t>
  </si>
  <si>
    <t>Holiday_Event_England/Wales Christmas Holidays End</t>
  </si>
  <si>
    <t>Holiday_Event_Fathers Day</t>
  </si>
  <si>
    <t>Holiday_Event_Good Friday (Bhol)</t>
  </si>
  <si>
    <t>Holiday_Event_Half Term Starts         Bank Holiday</t>
  </si>
  <si>
    <t>Holiday_Event_Halloween</t>
  </si>
  <si>
    <t>Holiday_Event_Maw World Wish Day</t>
  </si>
  <si>
    <t>Holiday_Event_Mothers Day</t>
  </si>
  <si>
    <t>Holiday_Event_New Years Day</t>
  </si>
  <si>
    <t>Holiday_Event_New Years Eve</t>
  </si>
  <si>
    <t>Holiday_Event_Ni Christmas Holidays Ends</t>
  </si>
  <si>
    <t>Holiday_Event_None</t>
  </si>
  <si>
    <t>Holiday_Event_Orangemans Day Bhol  (Ni)</t>
  </si>
  <si>
    <t>Holiday_Event_Rememberance Sunday</t>
  </si>
  <si>
    <t>Holiday_Event_School Hol (All)</t>
  </si>
  <si>
    <t>Holiday_Event_School Hol (Eng / Wales)</t>
  </si>
  <si>
    <t>Holiday_Event_School Hol (Eng /Wales)</t>
  </si>
  <si>
    <t>Holiday_Event_School Hol (Eng, Wales, Scot)</t>
  </si>
  <si>
    <t>Holiday_Event_School Hol (Eng/ Wales &amp; Ni)  Easter Monday (Eng/Wales/Ni, Bhol)</t>
  </si>
  <si>
    <t>Holiday_Event_School Hol (Eng/ Wales &amp; Scot)</t>
  </si>
  <si>
    <t>Holiday_Event_School Hol (Eng/ Wales, Scot &amp; Ni)</t>
  </si>
  <si>
    <t>Holiday_Event_School Hol (Eng/Wales &amp; Ni)</t>
  </si>
  <si>
    <t>Holiday_Event_School Hol (Eng/Wales &amp; Ni) Summer Bank Hol (Eng / Wales)</t>
  </si>
  <si>
    <t>Holiday_Event_School Hol (Eng/Wales, Scot &amp; Ni)</t>
  </si>
  <si>
    <t>Holiday_Event_School Hol (Scot &amp; Ni)</t>
  </si>
  <si>
    <t>Holiday_Event_School Hol (Scot)</t>
  </si>
  <si>
    <t>Holiday_Event_Scottish Christmas Holidays End</t>
  </si>
  <si>
    <t>Holiday_Event_Shrove Tuesday</t>
  </si>
  <si>
    <t>Holiday_Event_Spring Bank Holiday School Hol (Eng / Wales)</t>
  </si>
  <si>
    <t>Holiday_Event_St Georges Day (England)</t>
  </si>
  <si>
    <t>Holiday_Event_Valentines Day</t>
  </si>
  <si>
    <t>Holiday_Period_Bank Holiday</t>
  </si>
  <si>
    <t>Holiday_Period_Christmas</t>
  </si>
  <si>
    <t>Holiday_Period_Easter</t>
  </si>
  <si>
    <t>Holiday_Period_Halloween</t>
  </si>
  <si>
    <t>Holiday_Period_Halloween - School</t>
  </si>
  <si>
    <t>Holiday_Period_None</t>
  </si>
  <si>
    <t>Holiday_Period_St Patricks</t>
  </si>
  <si>
    <t>Holiday_Period_St Patricks Day</t>
  </si>
  <si>
    <t>Holiday_Period_Valentines</t>
  </si>
  <si>
    <t>Promo_Cc &amp; Lic</t>
  </si>
  <si>
    <t>Promo_Ears 342</t>
  </si>
  <si>
    <t>Promo_Ears 342 / Hair 342</t>
  </si>
  <si>
    <t>Promo_Es342</t>
  </si>
  <si>
    <t>Promo_Esb3G2</t>
  </si>
  <si>
    <t>Promo_Esb3G3</t>
  </si>
  <si>
    <t>Promo_Esb3G3 / Secret Sale 342</t>
  </si>
  <si>
    <t>Promo_Esb3G3 Or H&amp;C B1G150%</t>
  </si>
  <si>
    <t>Promo_Esb3G3 Or Hair B1G150%</t>
  </si>
  <si>
    <t>Promo_Esb3G3 Or Jwly B1G150%</t>
  </si>
  <si>
    <t>Promo_Esb3G3 Or Jwly B1G150% / Secret Sale 342</t>
  </si>
  <si>
    <t>Promo_Hair &amp; Ears 342</t>
  </si>
  <si>
    <t>Promo_Hair &amp; Jwly 342</t>
  </si>
  <si>
    <t>Promo_Hair &amp; Jwly B3G2</t>
  </si>
  <si>
    <t>Promo_Hair 342</t>
  </si>
  <si>
    <t>Sales_Promo_10 For 5</t>
  </si>
  <si>
    <t>Sales_Promo_342</t>
  </si>
  <si>
    <t>Sales_Promo_345</t>
  </si>
  <si>
    <t>Sales_Promo_345 / 545</t>
  </si>
  <si>
    <t>Sales_Promo_345 / 545 (Over €5 @ €5)</t>
  </si>
  <si>
    <t>Sales_Promo_545</t>
  </si>
  <si>
    <t>Sales_Promo_75% Off</t>
  </si>
  <si>
    <t>Sales_Promo_B3G3</t>
  </si>
  <si>
    <t>Sales_Promo_€2 Dot</t>
  </si>
  <si>
    <t>Cluster_0</t>
  </si>
  <si>
    <t>Cluster_1</t>
  </si>
  <si>
    <t>Cluster_2</t>
  </si>
  <si>
    <t>Cluster_3</t>
  </si>
  <si>
    <t>Day_of_Week_0</t>
  </si>
  <si>
    <t>Day_of_Week_1</t>
  </si>
  <si>
    <t>Day_of_Week_2</t>
  </si>
  <si>
    <t>Day_of_Week_3</t>
  </si>
  <si>
    <t>Day_of_Week_4</t>
  </si>
  <si>
    <t>Day_of_Week_5</t>
  </si>
  <si>
    <t>Day_of_Week_6</t>
  </si>
  <si>
    <t>Week_Num_1</t>
  </si>
  <si>
    <t>Week_Num_2</t>
  </si>
  <si>
    <t>Week_Num_3</t>
  </si>
  <si>
    <t>Week_Num_4</t>
  </si>
  <si>
    <t>Week_Num_5</t>
  </si>
  <si>
    <t>Week_Num_6</t>
  </si>
  <si>
    <t>Week_Num_7</t>
  </si>
  <si>
    <t>Week_Num_8</t>
  </si>
  <si>
    <t>Week_Num_9</t>
  </si>
  <si>
    <t>Week_Num_10</t>
  </si>
  <si>
    <t>Week_Num_11</t>
  </si>
  <si>
    <t>Week_Num_12</t>
  </si>
  <si>
    <t>Week_Num_13</t>
  </si>
  <si>
    <t>Week_Num_14</t>
  </si>
  <si>
    <t>Week_Num_15</t>
  </si>
  <si>
    <t>Week_Num_16</t>
  </si>
  <si>
    <t>Week_Num_17</t>
  </si>
  <si>
    <t>Week_Num_18</t>
  </si>
  <si>
    <t>Week_Num_19</t>
  </si>
  <si>
    <t>Week_Num_20</t>
  </si>
  <si>
    <t>Week_Num_21</t>
  </si>
  <si>
    <t>Week_Num_22</t>
  </si>
  <si>
    <t>Week_Num_23</t>
  </si>
  <si>
    <t>Week_Num_24</t>
  </si>
  <si>
    <t>Week_Num_25</t>
  </si>
  <si>
    <t>Week_Num_26</t>
  </si>
  <si>
    <t>Week_Num_27</t>
  </si>
  <si>
    <t>Week_Num_28</t>
  </si>
  <si>
    <t>Week_Num_29</t>
  </si>
  <si>
    <t>Week_Num_30</t>
  </si>
  <si>
    <t>Week_Num_31</t>
  </si>
  <si>
    <t>Week_Num_32</t>
  </si>
  <si>
    <t>Week_Num_33</t>
  </si>
  <si>
    <t>Week_Num_34</t>
  </si>
  <si>
    <t>Week_Num_35</t>
  </si>
  <si>
    <t>Week_Num_36</t>
  </si>
  <si>
    <t>Week_Num_37</t>
  </si>
  <si>
    <t>Week_Num_38</t>
  </si>
  <si>
    <t>Week_Num_39</t>
  </si>
  <si>
    <t>Week_Num_40</t>
  </si>
  <si>
    <t>Week_Num_41</t>
  </si>
  <si>
    <t>Week_Num_42</t>
  </si>
  <si>
    <t>Week_Num_43</t>
  </si>
  <si>
    <t>Week_Num_44</t>
  </si>
  <si>
    <t>Week_Num_45</t>
  </si>
  <si>
    <t>Week_Num_46</t>
  </si>
  <si>
    <t>Week_Num_47</t>
  </si>
  <si>
    <t>Week_Num_48</t>
  </si>
  <si>
    <t>Week_Num_49</t>
  </si>
  <si>
    <t>Week_Num_50</t>
  </si>
  <si>
    <t>Week_Num_51</t>
  </si>
  <si>
    <t>Week_Num_52</t>
  </si>
  <si>
    <t>Week_Num_53</t>
  </si>
  <si>
    <t>Holiday_Event__x000D_Bank Holiday</t>
  </si>
  <si>
    <t>Holiday_Event__x000D_World Book Day</t>
  </si>
  <si>
    <t>Impact</t>
  </si>
  <si>
    <t>Type</t>
  </si>
  <si>
    <t>Category</t>
  </si>
  <si>
    <t>Waterfall Category</t>
  </si>
  <si>
    <t>Don't Use</t>
  </si>
  <si>
    <t>Base</t>
  </si>
  <si>
    <t>Operating Hours</t>
  </si>
  <si>
    <t>Labor</t>
  </si>
  <si>
    <t>rain</t>
  </si>
  <si>
    <t>Weather</t>
  </si>
  <si>
    <t>snow</t>
  </si>
  <si>
    <t>meantempi</t>
  </si>
  <si>
    <t>meandewpti</t>
  </si>
  <si>
    <t>meanwindspdi</t>
  </si>
  <si>
    <t>humidity</t>
  </si>
  <si>
    <t>precipi</t>
  </si>
  <si>
    <t>Holiday_Event_Ash Wednesday</t>
  </si>
  <si>
    <t>Holiday</t>
  </si>
  <si>
    <t>Holiday/Seasonality</t>
  </si>
  <si>
    <t>Holiday_Event_Autumn half term ends</t>
  </si>
  <si>
    <t>Holiday_Event_Autumn half term starts</t>
  </si>
  <si>
    <t>Holiday_Event_Bank holiday</t>
  </si>
  <si>
    <t>Holiday_Event_Bank holiday (easter Monday)</t>
  </si>
  <si>
    <t>Holiday_Event_EID</t>
  </si>
  <si>
    <t>Holiday_Event_Easter holidays end</t>
  </si>
  <si>
    <t>Holiday_Event_Easter holidays start</t>
  </si>
  <si>
    <t>Holiday_Event_England/Wales Christmas holidays start</t>
  </si>
  <si>
    <t>Holiday_Event_England/Wales Summer holidays start</t>
  </si>
  <si>
    <t>Holiday_Event_Father's day</t>
  </si>
  <si>
    <t>Holiday_Event_Freshers week starts</t>
  </si>
  <si>
    <t>Holiday_Event_Half term ends</t>
  </si>
  <si>
    <t>Holiday_Event_Half term starts</t>
  </si>
  <si>
    <t>Holiday_Event_Half term starts Bank holiday</t>
  </si>
  <si>
    <t>Holiday_Event_International womens day</t>
  </si>
  <si>
    <t>Holiday_Event_May day bank holiday</t>
  </si>
  <si>
    <t>Holiday_Event_Mother's day</t>
  </si>
  <si>
    <t>Holiday_Event_NI Bank holiday</t>
  </si>
  <si>
    <t>Holiday_Event_NI Christmas holidays start</t>
  </si>
  <si>
    <t>Holiday_Event_NI half term ends</t>
  </si>
  <si>
    <t>Holiday_Event_NI half term starts</t>
  </si>
  <si>
    <t>Holiday_Event_NI holidays end</t>
  </si>
  <si>
    <t>Holiday_Event_NI holidays start</t>
  </si>
  <si>
    <t>Holiday_Event_NI summer holidays start</t>
  </si>
  <si>
    <t>Holiday_Event_NI, England &amp; Wales bank holiday</t>
  </si>
  <si>
    <t>Holiday_Event_Ramadan starts</t>
  </si>
  <si>
    <t>Holiday_Event_ST PATRICKS DAY (NI BHOL)</t>
  </si>
  <si>
    <t>Holiday_Event_Scotland Bank holiday</t>
  </si>
  <si>
    <t>Holiday_Event_Scotland summer holidays end</t>
  </si>
  <si>
    <t>Holiday_Event_Scotland summer holidays start</t>
  </si>
  <si>
    <t>Holiday_Event_Scottish Christmas holidays start</t>
  </si>
  <si>
    <t>Holiday_Event_Scottish holidays start Bank holiday (good Friday)</t>
  </si>
  <si>
    <t>Holiday_Event_Valentines day</t>
  </si>
  <si>
    <t>Holiday_Event_World book day</t>
  </si>
  <si>
    <t>Holiday_Period_All School hols</t>
  </si>
  <si>
    <t>Holiday_Period_NI School hols</t>
  </si>
  <si>
    <t>Holiday_Period_NI/England/Wales School hols</t>
  </si>
  <si>
    <t>Holiday_Period_NI/Scot school hols</t>
  </si>
  <si>
    <t>Holiday_Period_School hols</t>
  </si>
  <si>
    <t>Holiday_Period_Scotland School hols</t>
  </si>
  <si>
    <t>Promo_CC &amp; Lic</t>
  </si>
  <si>
    <t>Other Promo</t>
  </si>
  <si>
    <t>Promo_ES342</t>
  </si>
  <si>
    <t>ES342</t>
  </si>
  <si>
    <t>Promo_ESB3G2</t>
  </si>
  <si>
    <t>Promo_ESB3G3</t>
  </si>
  <si>
    <t>B3G3</t>
  </si>
  <si>
    <t>Promo_Ears 342 &amp; RBJ BOG50% &amp; Plush BOG50%</t>
  </si>
  <si>
    <t>Promo_Ears 342 &amp; RBJ BOGO50%</t>
  </si>
  <si>
    <t>CLX</t>
  </si>
  <si>
    <t>Sales_Promo_10 FOR 5</t>
  </si>
  <si>
    <t>Sales_Promo_342 / BOGOF</t>
  </si>
  <si>
    <t>Sales_Promo_75% OFF</t>
  </si>
  <si>
    <t>Sales_Promo_€2 DOT</t>
  </si>
  <si>
    <t>Day of Week</t>
  </si>
  <si>
    <t>Seasonality</t>
  </si>
  <si>
    <t>WF Type</t>
  </si>
  <si>
    <t>% Of Tot. ß</t>
  </si>
  <si>
    <t>Rel To Sls</t>
  </si>
  <si>
    <t>Row Labels</t>
  </si>
  <si>
    <t>Sum of Rel To Sls</t>
  </si>
  <si>
    <t>BreakDown</t>
  </si>
  <si>
    <t>Sales</t>
  </si>
  <si>
    <t>Holiday_Event_ Summer Holidays End</t>
  </si>
  <si>
    <t>Holiday_Event_All Saints Day (Bhol)</t>
  </si>
  <si>
    <t>Holiday_Event_Armistice Day (Bhol)</t>
  </si>
  <si>
    <t>Holiday_Event_Ascension Day</t>
  </si>
  <si>
    <t>Holiday_Event_Assumption Day</t>
  </si>
  <si>
    <t>Holiday_Event_Carnival</t>
  </si>
  <si>
    <t xml:space="preserve">Holiday_Event_Easter Monday </t>
  </si>
  <si>
    <t>Holiday_Event_Easter Monday (Bhol)'_x000D_
School Hol (Zone A)</t>
  </si>
  <si>
    <t>Holiday_Event_Good Friday</t>
  </si>
  <si>
    <t>Holiday_Event_Grand Mothers Day</t>
  </si>
  <si>
    <t>Holiday_Event_Legal Sale Ends</t>
  </si>
  <si>
    <t>Holiday_Event_Legal Sale Ends Select Assumption Day (Bhol)</t>
  </si>
  <si>
    <t>Holiday_Event_Legal Sale Exeptions Stores Ends</t>
  </si>
  <si>
    <t>Holiday_Event_Legal Sale Period Ends</t>
  </si>
  <si>
    <t>Holiday_Event_Legal Sale Period Starts</t>
  </si>
  <si>
    <t xml:space="preserve">Holiday_Event_Legal Sale Starts Select </t>
  </si>
  <si>
    <t>Holiday_Event_National Day</t>
  </si>
  <si>
    <t>Holiday_Event_National Day (Bhol)</t>
  </si>
  <si>
    <t>Holiday_Event_Pentacost (Bhol)</t>
  </si>
  <si>
    <t>Holiday_Event_Ramadan Ends</t>
  </si>
  <si>
    <t>Holiday_Event_School Hol (All Zones)</t>
  </si>
  <si>
    <t>Holiday_Event_School Hol (Zone A)</t>
  </si>
  <si>
    <t>Holiday_Event_School Hol (Zone B)</t>
  </si>
  <si>
    <t>Holiday_Event_School Hol (Zone C)</t>
  </si>
  <si>
    <t>Holiday_Event_School Holidays End</t>
  </si>
  <si>
    <t>Holiday_Event_School Holidays Start</t>
  </si>
  <si>
    <t>Holiday_Event_School Holidays-Zone A &amp; B</t>
  </si>
  <si>
    <t>Holiday_Event_School Holidays-Zone A &amp; C</t>
  </si>
  <si>
    <t>Holiday_Event_School Holidays-Zone B</t>
  </si>
  <si>
    <t>Holiday_Event_School Holidays-Zone-C</t>
  </si>
  <si>
    <t>Holiday_Event_St Stephens Day</t>
  </si>
  <si>
    <t>Holiday_Event_Summer Holidays Start</t>
  </si>
  <si>
    <t>Holiday_Event_V-E Day</t>
  </si>
  <si>
    <t>Holiday_Period_Carnival</t>
  </si>
  <si>
    <t>Holiday_Period_Public Holiday</t>
  </si>
  <si>
    <t>Holiday_Period_School Select</t>
  </si>
  <si>
    <t>Promo_Esb3G3 Min Model / Secret Sale 342</t>
  </si>
  <si>
    <t>Promo_Jwly 342</t>
  </si>
  <si>
    <t>Promo_Plush Bogo50%</t>
  </si>
  <si>
    <t>Sales_Promo_342 / 545</t>
  </si>
  <si>
    <t>Sales_Promo_Select 345</t>
  </si>
  <si>
    <t>Cluster_4</t>
  </si>
  <si>
    <t>Holiday_Event_School Holidays End   (Legal Sale Period Starts Meurthe-Et-Moselle, Meuse, Moselle, Vosges Only)</t>
  </si>
  <si>
    <t>Holiday_Event_School Holidays-Zone A &amp; B   Valentines Day</t>
  </si>
  <si>
    <t xml:space="preserve">Holiday_Event_ All Saints Day </t>
  </si>
  <si>
    <t>Holiday_Event_All Saints Day Bhol</t>
  </si>
  <si>
    <t>Holiday_Event_Assumption Day Bhol</t>
  </si>
  <si>
    <t>Holiday_Event_Children'S Day</t>
  </si>
  <si>
    <t>Holiday_Event_Childrens Day</t>
  </si>
  <si>
    <t>Holiday_Event_Corpus Christi</t>
  </si>
  <si>
    <t>Holiday_Event_Day Of Portugal Bhol</t>
  </si>
  <si>
    <t>Holiday_Event_Easter Monday</t>
  </si>
  <si>
    <t>Holiday_Event_Freedom Day</t>
  </si>
  <si>
    <t>Holiday_Event_Good Friday Bhol</t>
  </si>
  <si>
    <t xml:space="preserve">Holiday_Event_Immaculate Conception Day </t>
  </si>
  <si>
    <t>Holiday_Event_Immaculate Conception Day Bhol</t>
  </si>
  <si>
    <t>Holiday_Event_Independence Day Bhol</t>
  </si>
  <si>
    <t>Holiday_Event_International Women'S Day</t>
  </si>
  <si>
    <t>Holiday_Event_Labour Day Bhol</t>
  </si>
  <si>
    <t>Holiday_Event_Labour Day, Mother'S Day</t>
  </si>
  <si>
    <t xml:space="preserve">Holiday_Event_Legal Sale Period Starts  </t>
  </si>
  <si>
    <t xml:space="preserve">Holiday_Event_Mothers Day </t>
  </si>
  <si>
    <t>Holiday_Event_Portugal Day</t>
  </si>
  <si>
    <t>Holiday_Event_Republic Day</t>
  </si>
  <si>
    <t>Holiday_Event_School Hol</t>
  </si>
  <si>
    <t>Holiday_Event_School Hols End</t>
  </si>
  <si>
    <t>Holiday_Event_School Hols Start</t>
  </si>
  <si>
    <t>Holiday_Event_Winter Holidays End</t>
  </si>
  <si>
    <t>Holiday_Event_Winter Holidays Start</t>
  </si>
  <si>
    <t>Holiday_Event_Womens Day</t>
  </si>
  <si>
    <t>Holiday_Period_Resort Period</t>
  </si>
  <si>
    <t>Holiday_Period_School Holidays</t>
  </si>
  <si>
    <t>Promo_Hair &amp; Jwly &amp; Cos 342</t>
  </si>
  <si>
    <t>Holiday_Event__x000D_Corpus Christi Bhol</t>
  </si>
  <si>
    <t>Holiday_Event__x000D_Legal Sale Starts</t>
  </si>
  <si>
    <t>Holiday_Event__x000D_Liberation Day Bhol</t>
  </si>
  <si>
    <t xml:space="preserve">Holiday_Event_All Saints Day </t>
  </si>
  <si>
    <t>Holiday_Event_Bank Holiday (Good Friday)</t>
  </si>
  <si>
    <t>Holiday_Event_Christmas Day</t>
  </si>
  <si>
    <t>Holiday_Event_Christmas Day (Bhol)</t>
  </si>
  <si>
    <t xml:space="preserve">Holiday_Event_Corpus Christi </t>
  </si>
  <si>
    <t>Holiday_Event_Day Of Reformation Bhol / Halloween</t>
  </si>
  <si>
    <t>Holiday_Event_Easter Monday Bhol</t>
  </si>
  <si>
    <t>Holiday_Event_Epiphany</t>
  </si>
  <si>
    <t>Holiday_Event_German Unity Day Bhol</t>
  </si>
  <si>
    <t>Holiday_Event_Labour Day</t>
  </si>
  <si>
    <t>Holiday_Event_Mother'S Day</t>
  </si>
  <si>
    <t>Holiday_Event_Pentecost</t>
  </si>
  <si>
    <t>Holiday_Event_St Stephens Day (Bhol)</t>
  </si>
  <si>
    <t>Holiday_Event_Unity Day</t>
  </si>
  <si>
    <t xml:space="preserve">Holiday_Event__x000D_Corpus Christi </t>
  </si>
  <si>
    <t>GER Avg. Sls: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</si>
</sst>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2" fillId="0" borderId="1" xfId="1" applyNumberFormat="1" applyFont="1" applyBorder="1" applyAlignment="1">
      <alignment horizontal="right"/>
    </xf>
    <xf numFmtId="164" fontId="0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1" xfId="0" applyFont="1" applyBorder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Hinton" refreshedDate="43124.546931944446" createdVersion="4" refreshedVersion="4" minRefreshableVersion="3" recordCount="152">
  <cacheSource type="worksheet">
    <worksheetSource ref="C1:F179" sheet="Alpha_0.1"/>
  </cacheSource>
  <cacheFields count="4">
    <cacheField name="Type" numFmtId="0">
      <sharedItems containsBlank="1" count="11">
        <s v="Base"/>
        <s v="Operating Hours"/>
        <s v="Labor"/>
        <s v="Holiday"/>
        <s v="Other Promo"/>
        <s v="ES342"/>
        <s v="B3G3"/>
        <s v="CLX"/>
        <s v="Day of Week"/>
        <s v="Seasonality"/>
        <m/>
      </sharedItems>
    </cacheField>
    <cacheField name="WF Type" numFmtId="0">
      <sharedItems containsBlank="1" count="6">
        <s v="Base"/>
        <s v="Holiday/Seasonality"/>
        <s v="Other Promo"/>
        <s v="B3G3"/>
        <s v="CLX"/>
        <m/>
      </sharedItems>
    </cacheField>
    <cacheField name="% Of Tot. ß" numFmtId="164">
      <sharedItems containsString="0" containsBlank="1" containsNumber="1" minValue="-1.2275313727449042" maxValue="0.61076465756608489"/>
    </cacheField>
    <cacheField name="Rel To Sls" numFmtId="0">
      <sharedItems containsString="0" containsBlank="1" containsNumber="1" minValue="-1058.9544893258465" maxValue="526.888347142534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x v="0"/>
    <n v="0.11909559296267985"/>
    <n v="102.74019518111503"/>
  </r>
  <r>
    <x v="1"/>
    <x v="0"/>
    <n v="1.090052460546904E-3"/>
    <n v="0.94035555613999766"/>
  </r>
  <r>
    <x v="2"/>
    <x v="0"/>
    <n v="1.9278524480156028E-2"/>
    <n v="16.6310047132962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.21111456752709493"/>
    <n v="182.12220396859897"/>
  </r>
  <r>
    <x v="3"/>
    <x v="1"/>
    <n v="0"/>
    <n v="0"/>
  </r>
  <r>
    <x v="3"/>
    <x v="1"/>
    <n v="0"/>
    <n v="0"/>
  </r>
  <r>
    <x v="3"/>
    <x v="1"/>
    <n v="-1.143350313555453"/>
    <n v="-986.33401499488264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0.57450958119760098"/>
    <n v="495.61218041173441"/>
  </r>
  <r>
    <x v="3"/>
    <x v="1"/>
    <n v="0"/>
    <n v="0"/>
  </r>
  <r>
    <x v="3"/>
    <x v="1"/>
    <n v="0.20494117852096827"/>
    <n v="176.7966064746837"/>
  </r>
  <r>
    <x v="3"/>
    <x v="1"/>
    <n v="0"/>
    <n v="0"/>
  </r>
  <r>
    <x v="3"/>
    <x v="1"/>
    <n v="0"/>
    <n v="0"/>
  </r>
  <r>
    <x v="3"/>
    <x v="1"/>
    <n v="0"/>
    <n v="0"/>
  </r>
  <r>
    <x v="3"/>
    <x v="1"/>
    <n v="-1.2275313727449042"/>
    <n v="-1058.9544893258465"/>
  </r>
  <r>
    <x v="3"/>
    <x v="1"/>
    <n v="3.2408056893992468E-2"/>
    <n v="27.957458440740481"/>
  </r>
  <r>
    <x v="3"/>
    <x v="1"/>
    <n v="0"/>
    <n v="0"/>
  </r>
  <r>
    <x v="3"/>
    <x v="1"/>
    <n v="0"/>
    <n v="0"/>
  </r>
  <r>
    <x v="3"/>
    <x v="1"/>
    <n v="3.8200807702375557E-2"/>
    <n v="32.954690780608317"/>
  </r>
  <r>
    <x v="3"/>
    <x v="1"/>
    <n v="0"/>
    <n v="0"/>
  </r>
  <r>
    <x v="3"/>
    <x v="1"/>
    <n v="0"/>
    <n v="0"/>
  </r>
  <r>
    <x v="3"/>
    <x v="1"/>
    <n v="0"/>
    <n v="0"/>
  </r>
  <r>
    <x v="3"/>
    <x v="1"/>
    <n v="0"/>
    <n v="0"/>
  </r>
  <r>
    <x v="3"/>
    <x v="1"/>
    <n v="-3.9340732144255181E-2"/>
    <n v="-33.938069398884615"/>
  </r>
  <r>
    <x v="3"/>
    <x v="1"/>
    <n v="0.14361152590117562"/>
    <n v="123.88935504916716"/>
  </r>
  <r>
    <x v="3"/>
    <x v="1"/>
    <n v="0.22732289739949937"/>
    <n v="196.10464389962613"/>
  </r>
  <r>
    <x v="3"/>
    <x v="1"/>
    <n v="0.44020609073169836"/>
    <n v="379.7525882915142"/>
  </r>
  <r>
    <x v="3"/>
    <x v="1"/>
    <n v="-4.0884421546741143E-2"/>
    <n v="-35.269763935727177"/>
  </r>
  <r>
    <x v="3"/>
    <x v="1"/>
    <n v="-3.2646396412344167E-2"/>
    <n v="-28.16306679303694"/>
  </r>
  <r>
    <x v="3"/>
    <x v="1"/>
    <n v="0"/>
    <n v="0"/>
  </r>
  <r>
    <x v="4"/>
    <x v="2"/>
    <n v="7.9036117650637658E-2"/>
    <n v="68.182087613675591"/>
  </r>
  <r>
    <x v="4"/>
    <x v="2"/>
    <n v="-4.4626228778134075E-2"/>
    <n v="-38.497708780032923"/>
  </r>
  <r>
    <x v="4"/>
    <x v="2"/>
    <n v="-0.16465590155412591"/>
    <n v="-142.04370659369778"/>
  </r>
  <r>
    <x v="5"/>
    <x v="2"/>
    <n v="-1.6171718309476446E-2"/>
    <n v="-13.950856234036046"/>
  </r>
  <r>
    <x v="4"/>
    <x v="2"/>
    <n v="0.16621194388164034"/>
    <n v="143.38605762837466"/>
  </r>
  <r>
    <x v="6"/>
    <x v="3"/>
    <n v="6.5557062070724648E-2"/>
    <n v="56.554110736552026"/>
  </r>
  <r>
    <x v="4"/>
    <x v="2"/>
    <n v="-0.10515725035580908"/>
    <n v="-90.716005164445818"/>
  </r>
  <r>
    <x v="6"/>
    <x v="3"/>
    <n v="9.8726356367349929E-2"/>
    <n v="85.168265847421765"/>
  </r>
  <r>
    <x v="4"/>
    <x v="2"/>
    <n v="5.9075666697895247E-2"/>
    <n v="50.962805390273289"/>
  </r>
  <r>
    <x v="4"/>
    <x v="2"/>
    <n v="4.4499651924421742E-2"/>
    <n v="38.388514725640903"/>
  </r>
  <r>
    <x v="4"/>
    <x v="2"/>
    <n v="-0.16363079675118491"/>
    <n v="-141.1593794333447"/>
  </r>
  <r>
    <x v="4"/>
    <x v="2"/>
    <n v="9.5861683189423972E-4"/>
    <n v="0.82696998237020369"/>
  </r>
  <r>
    <x v="4"/>
    <x v="2"/>
    <n v="0"/>
    <n v="0"/>
  </r>
  <r>
    <x v="4"/>
    <x v="2"/>
    <n v="0"/>
    <n v="0"/>
  </r>
  <r>
    <x v="4"/>
    <x v="2"/>
    <n v="6.1127766657735727E-2"/>
    <n v="52.73309046262888"/>
  </r>
  <r>
    <x v="4"/>
    <x v="2"/>
    <n v="-2.0063060890583927E-2"/>
    <n v="-17.307800738480037"/>
  </r>
  <r>
    <x v="7"/>
    <x v="2"/>
    <n v="-5.0873656926069516E-2"/>
    <n v="-43.887177620412388"/>
  </r>
  <r>
    <x v="7"/>
    <x v="4"/>
    <n v="-2.5580147847881047E-3"/>
    <n v="-2.2067226143931542"/>
  </r>
  <r>
    <x v="7"/>
    <x v="4"/>
    <n v="0"/>
    <n v="0"/>
  </r>
  <r>
    <x v="7"/>
    <x v="4"/>
    <n v="4.6598018102020668E-2"/>
    <n v="40.198712276070168"/>
  </r>
  <r>
    <x v="7"/>
    <x v="4"/>
    <n v="-0.13057177733177724"/>
    <n v="-112.64035515080427"/>
  </r>
  <r>
    <x v="7"/>
    <x v="4"/>
    <n v="0.16772409679580572"/>
    <n v="144.6905465828377"/>
  </r>
  <r>
    <x v="7"/>
    <x v="4"/>
    <n v="-5.5491509095167375E-2"/>
    <n v="-47.870860151128035"/>
  </r>
  <r>
    <x v="7"/>
    <x v="4"/>
    <n v="3.0756857221476207E-2"/>
    <n v="26.533018019250878"/>
  </r>
  <r>
    <x v="7"/>
    <x v="4"/>
    <n v="6.3148879441001893E-2"/>
    <n v="54.476643827369102"/>
  </r>
  <r>
    <x v="7"/>
    <x v="4"/>
    <n v="-0.14365009713557045"/>
    <n v="-123.92262929594256"/>
  </r>
  <r>
    <x v="0"/>
    <x v="0"/>
    <n v="0"/>
    <n v="0"/>
  </r>
  <r>
    <x v="0"/>
    <x v="0"/>
    <n v="-3.1406469816185605E-2"/>
    <n v="-27.093419316328834"/>
  </r>
  <r>
    <x v="0"/>
    <x v="0"/>
    <n v="0.41415552574565828"/>
    <n v="357.279547395007"/>
  </r>
  <r>
    <x v="8"/>
    <x v="0"/>
    <n v="-5.7145013378654165E-2"/>
    <n v="-49.297288691363583"/>
  </r>
  <r>
    <x v="8"/>
    <x v="0"/>
    <n v="-5.1938309876128623E-2"/>
    <n v="-44.805621780839878"/>
  </r>
  <r>
    <x v="8"/>
    <x v="0"/>
    <n v="-3.3432897526215047E-2"/>
    <n v="-28.841557708939934"/>
  </r>
  <r>
    <x v="8"/>
    <x v="0"/>
    <n v="3.3310600583346143E-3"/>
    <n v="2.8736055805235217"/>
  </r>
  <r>
    <x v="8"/>
    <x v="0"/>
    <n v="7.3695872120161196E-2"/>
    <n v="63.575218001899458"/>
  </r>
  <r>
    <x v="8"/>
    <x v="0"/>
    <n v="0.39810181315246584"/>
    <n v="343.43049115223772"/>
  </r>
  <r>
    <x v="8"/>
    <x v="0"/>
    <n v="0"/>
    <n v="0"/>
  </r>
  <r>
    <x v="9"/>
    <x v="1"/>
    <n v="9.484917139280194E-2"/>
    <n v="81.823534685428442"/>
  </r>
  <r>
    <x v="9"/>
    <x v="1"/>
    <n v="-7.1997807494811411E-2"/>
    <n v="-62.110348591548956"/>
  </r>
  <r>
    <x v="9"/>
    <x v="1"/>
    <n v="-6.0355238831158016E-2"/>
    <n v="-52.06665388247508"/>
  </r>
  <r>
    <x v="9"/>
    <x v="1"/>
    <n v="1.0609276361031204E-2"/>
    <n v="9.1523044383707877"/>
  </r>
  <r>
    <x v="9"/>
    <x v="1"/>
    <n v="0.14674677106981029"/>
    <n v="126.59403699879324"/>
  </r>
  <r>
    <x v="9"/>
    <x v="1"/>
    <n v="-2.8142365970731675E-2"/>
    <n v="-24.277574851971092"/>
  </r>
  <r>
    <x v="9"/>
    <x v="1"/>
    <n v="-3.8075947567940771E-3"/>
    <n v="-3.2846977688435466"/>
  </r>
  <r>
    <x v="9"/>
    <x v="1"/>
    <n v="1.1319547771670628E-2"/>
    <n v="9.7650342761870998"/>
  </r>
  <r>
    <x v="9"/>
    <x v="1"/>
    <n v="-3.9158594997253819E-2"/>
    <n v="-33.780945146280949"/>
  </r>
  <r>
    <x v="9"/>
    <x v="1"/>
    <n v="-8.7570093754652356E-2"/>
    <n v="-75.54409277932595"/>
  </r>
  <r>
    <x v="9"/>
    <x v="1"/>
    <n v="-7.4878898967583568E-2"/>
    <n v="-64.595779772365319"/>
  </r>
  <r>
    <x v="9"/>
    <x v="1"/>
    <n v="-7.7711819984835742E-2"/>
    <n v="-67.039655746318246"/>
  </r>
  <r>
    <x v="9"/>
    <x v="1"/>
    <n v="5.1687524716984498E-2"/>
    <n v="44.589276947601014"/>
  </r>
  <r>
    <x v="9"/>
    <x v="1"/>
    <n v="-4.2942232979798101E-2"/>
    <n v="-37.044976124682428"/>
  </r>
  <r>
    <x v="9"/>
    <x v="1"/>
    <n v="-3.6000846097342672E-2"/>
    <n v="-31.0568499027946"/>
  </r>
  <r>
    <x v="9"/>
    <x v="1"/>
    <n v="-1.6144617436434749E-2"/>
    <n v="-13.927477123889165"/>
  </r>
  <r>
    <x v="9"/>
    <x v="1"/>
    <n v="-4.7164680870768715E-2"/>
    <n v="-40.687555246786047"/>
  </r>
  <r>
    <x v="9"/>
    <x v="1"/>
    <n v="5.0798522274192161E-2"/>
    <n v="43.82236121027735"/>
  </r>
  <r>
    <x v="9"/>
    <x v="1"/>
    <n v="-1.8755929113424306E-2"/>
    <n v="-16.180177368277747"/>
  </r>
  <r>
    <x v="9"/>
    <x v="1"/>
    <n v="-5.1220626004369794E-2"/>
    <n v="-44.186497435189686"/>
  </r>
  <r>
    <x v="9"/>
    <x v="1"/>
    <n v="-1.2234728560967776E-2"/>
    <n v="-10.55453328769007"/>
  </r>
  <r>
    <x v="9"/>
    <x v="1"/>
    <n v="3.2999896541304141E-2"/>
    <n v="28.468020749286843"/>
  </r>
  <r>
    <x v="9"/>
    <x v="1"/>
    <n v="1.766241470324716E-3"/>
    <n v="1.5236835292050226"/>
  </r>
  <r>
    <x v="9"/>
    <x v="1"/>
    <n v="2.2899333749151304E-2"/>
    <n v="19.754568245380355"/>
  </r>
  <r>
    <x v="9"/>
    <x v="1"/>
    <n v="-5.7814242161349123E-2"/>
    <n v="-49.874612285331047"/>
  </r>
  <r>
    <x v="9"/>
    <x v="1"/>
    <n v="6.613508708809604E-2"/>
    <n v="57.052755578287808"/>
  </r>
  <r>
    <x v="9"/>
    <x v="1"/>
    <n v="2.1201666533399423E-2"/>
    <n v="18.290041668367678"/>
  </r>
  <r>
    <x v="9"/>
    <x v="1"/>
    <n v="2.6461610690441301E-2"/>
    <n v="22.827637694322995"/>
  </r>
  <r>
    <x v="9"/>
    <x v="1"/>
    <n v="-2.8621867734310039E-2"/>
    <n v="-24.691226638357239"/>
  </r>
  <r>
    <x v="9"/>
    <x v="1"/>
    <n v="6.1014553002481348E-2"/>
    <n v="52.635424438650581"/>
  </r>
  <r>
    <x v="9"/>
    <x v="1"/>
    <n v="0.10142811815813467"/>
    <n v="87.498994691478032"/>
  </r>
  <r>
    <x v="9"/>
    <x v="1"/>
    <n v="0"/>
    <n v="0"/>
  </r>
  <r>
    <x v="9"/>
    <x v="1"/>
    <n v="-2.9989272202626319E-2"/>
    <n v="-25.870845451039646"/>
  </r>
  <r>
    <x v="9"/>
    <x v="1"/>
    <n v="-0.10523649452591821"/>
    <n v="-90.78436673267386"/>
  </r>
  <r>
    <x v="9"/>
    <x v="1"/>
    <n v="3.7300655900012313E-3"/>
    <n v="3.217815682526362"/>
  </r>
  <r>
    <x v="9"/>
    <x v="1"/>
    <n v="-9.7400842724785233E-2"/>
    <n v="-84.024784993390469"/>
  </r>
  <r>
    <x v="9"/>
    <x v="1"/>
    <n v="-1.828252021184365E-2"/>
    <n v="-15.771781711151162"/>
  </r>
  <r>
    <x v="9"/>
    <x v="1"/>
    <n v="-5.7467924925825635E-2"/>
    <n v="-49.575854795761998"/>
  </r>
  <r>
    <x v="9"/>
    <x v="1"/>
    <n v="-1.0941142617246128E-2"/>
    <n v="-9.4385955016197176"/>
  </r>
  <r>
    <x v="9"/>
    <x v="1"/>
    <n v="3.0786171318471448E-2"/>
    <n v="26.558306411305765"/>
  </r>
  <r>
    <x v="9"/>
    <x v="1"/>
    <n v="2.4595517285718967E-2"/>
    <n v="21.217814896871179"/>
  </r>
  <r>
    <x v="9"/>
    <x v="1"/>
    <n v="-0.3282087879966063"/>
    <n v="-283.13587514103233"/>
  </r>
  <r>
    <x v="9"/>
    <x v="1"/>
    <n v="-0.30339102278872099"/>
    <n v="-261.72633362914593"/>
  </r>
  <r>
    <x v="9"/>
    <x v="1"/>
    <n v="5.6266158451474105E-2"/>
    <n v="48.539126911333163"/>
  </r>
  <r>
    <x v="9"/>
    <x v="1"/>
    <n v="-3.4814309560122179E-2"/>
    <n v="-30.033260428230598"/>
  </r>
  <r>
    <x v="9"/>
    <x v="1"/>
    <n v="0"/>
    <n v="0"/>
  </r>
  <r>
    <x v="9"/>
    <x v="1"/>
    <n v="3.5019981928104939E-2"/>
    <n v="30.210687809918287"/>
  </r>
  <r>
    <x v="9"/>
    <x v="1"/>
    <n v="0.25057040793073232"/>
    <n v="216.15957380960484"/>
  </r>
  <r>
    <x v="9"/>
    <x v="1"/>
    <n v="0.1176883651708467"/>
    <n v="101.52622198193431"/>
  </r>
  <r>
    <x v="9"/>
    <x v="1"/>
    <n v="0.20124821406484253"/>
    <n v="173.6107968273177"/>
  </r>
  <r>
    <x v="9"/>
    <x v="1"/>
    <n v="0.4005575887698925"/>
    <n v="345.54901510412316"/>
  </r>
  <r>
    <x v="9"/>
    <x v="1"/>
    <n v="0.61076465756608489"/>
    <n v="526.88834714253437"/>
  </r>
  <r>
    <x v="9"/>
    <x v="1"/>
    <n v="7.9751812790842966E-2"/>
    <n v="68.799496340276491"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  <r>
    <x v="10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9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1:C12" firstHeaderRow="1" firstDataRow="1" firstDataCol="2"/>
  <pivotFields count="4">
    <pivotField axis="axisRow" showAll="0" defaultSubtotal="0">
      <items count="11">
        <item x="6"/>
        <item x="0"/>
        <item x="7"/>
        <item x="8"/>
        <item x="5"/>
        <item x="3"/>
        <item x="2"/>
        <item x="1"/>
        <item x="4"/>
        <item x="9"/>
        <item x="10"/>
      </items>
    </pivotField>
    <pivotField axis="axisRow" outline="0" showAll="0" sortType="descending" defaultSubtotal="0">
      <items count="6">
        <item x="3"/>
        <item x="0"/>
        <item x="4"/>
        <item x="1"/>
        <item x="2"/>
        <item h="1"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/>
    <pivotField dataField="1" showAll="0"/>
  </pivotFields>
  <rowFields count="2">
    <field x="1"/>
    <field x="0"/>
  </rowFields>
  <rowItems count="11">
    <i>
      <x v="1"/>
      <x v="1"/>
    </i>
    <i r="1">
      <x v="3"/>
    </i>
    <i r="1">
      <x v="6"/>
    </i>
    <i r="1">
      <x v="7"/>
    </i>
    <i>
      <x/>
      <x/>
    </i>
    <i>
      <x v="3"/>
      <x v="5"/>
    </i>
    <i r="1">
      <x v="9"/>
    </i>
    <i>
      <x v="2"/>
      <x v="2"/>
    </i>
    <i>
      <x v="4"/>
      <x v="2"/>
    </i>
    <i r="1">
      <x v="4"/>
    </i>
    <i r="1">
      <x v="8"/>
    </i>
  </rowItems>
  <colItems count="1">
    <i/>
  </colItems>
  <dataFields count="1">
    <dataField name="Sum of Rel To Sl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1"/>
  <sheetViews>
    <sheetView showGridLines="0" tabSelected="1" zoomScaleNormal="100" workbookViewId="0">
      <selection activeCell="B24" sqref="B24"/>
    </sheetView>
  </sheetViews>
  <sheetFormatPr defaultRowHeight="12.75" x14ac:dyDescent="0.2"/>
  <cols>
    <col min="1" max="1" width="9.140625" style="1"/>
    <col min="2" max="2" width="64.42578125" style="1" bestFit="1" customWidth="1"/>
    <col min="3" max="3" width="13.7109375" style="1" bestFit="1" customWidth="1"/>
    <col min="4" max="4" width="16" style="1" bestFit="1" customWidth="1"/>
    <col min="5" max="5" width="12.140625" style="6" bestFit="1" customWidth="1"/>
    <col min="6" max="16384" width="9.140625" style="1"/>
  </cols>
  <sheetData>
    <row r="1" spans="1:11" ht="13.5" thickBot="1" x14ac:dyDescent="0.25">
      <c r="A1" s="4" t="s">
        <v>144</v>
      </c>
      <c r="B1" s="4" t="s">
        <v>0</v>
      </c>
      <c r="C1" s="4" t="s">
        <v>145</v>
      </c>
      <c r="D1" s="4" t="s">
        <v>219</v>
      </c>
      <c r="E1" s="5" t="s">
        <v>220</v>
      </c>
      <c r="F1" s="4" t="s">
        <v>221</v>
      </c>
      <c r="H1" s="3"/>
      <c r="J1" s="3" t="s">
        <v>317</v>
      </c>
      <c r="K1" s="1">
        <v>862.67</v>
      </c>
    </row>
    <row r="2" spans="1:11" ht="13.5" thickTop="1" x14ac:dyDescent="0.2">
      <c r="A2" s="1">
        <v>145.743312881994</v>
      </c>
      <c r="B2" s="1" t="s">
        <v>2</v>
      </c>
      <c r="C2" s="1" t="str">
        <f>VLOOKUP(B2,'Variable Look Up'!A:C,2,FALSE)</f>
        <v>Base</v>
      </c>
      <c r="D2" s="1" t="str">
        <f>VLOOKUP(B2,'Variable Look Up'!A:C,3,FALSE)</f>
        <v>Base</v>
      </c>
      <c r="E2" s="6">
        <f>A2/SUM($A$2:$A$131)</f>
        <v>0.11909559296267985</v>
      </c>
      <c r="F2" s="1">
        <f t="shared" ref="F2:F62" si="0">E2*$K$1</f>
        <v>102.74019518111503</v>
      </c>
    </row>
    <row r="3" spans="1:11" x14ac:dyDescent="0.2">
      <c r="A3">
        <v>1.3339524399115099</v>
      </c>
      <c r="B3" s="1" t="s">
        <v>3</v>
      </c>
      <c r="C3" s="1" t="str">
        <f>VLOOKUP(B3,'Variable Look Up'!A:C,2,FALSE)</f>
        <v>Operating Hours</v>
      </c>
      <c r="D3" s="1" t="str">
        <f>VLOOKUP(B3,'Variable Look Up'!A:C,3,FALSE)</f>
        <v>Base</v>
      </c>
      <c r="E3" s="6">
        <f t="shared" ref="E3:E66" si="1">A3/SUM($A$2:$A$131)</f>
        <v>1.090052460546904E-3</v>
      </c>
      <c r="F3" s="1">
        <f t="shared" si="0"/>
        <v>0.94035555613999766</v>
      </c>
    </row>
    <row r="4" spans="1:11" x14ac:dyDescent="0.2">
      <c r="A4" s="1">
        <v>23.592107443430098</v>
      </c>
      <c r="B4" s="1" t="s">
        <v>4</v>
      </c>
      <c r="C4" s="1" t="str">
        <f>VLOOKUP(B4,'Variable Look Up'!A:C,2,FALSE)</f>
        <v>Labor</v>
      </c>
      <c r="D4" s="1" t="str">
        <f>VLOOKUP(B4,'Variable Look Up'!A:C,3,FALSE)</f>
        <v>Base</v>
      </c>
      <c r="E4" s="6">
        <f t="shared" si="1"/>
        <v>1.9278524480156028E-2</v>
      </c>
      <c r="F4" s="1">
        <f t="shared" si="0"/>
        <v>16.6310047132962</v>
      </c>
    </row>
    <row r="5" spans="1:11" x14ac:dyDescent="0.2">
      <c r="A5" s="1">
        <v>0</v>
      </c>
      <c r="B5" s="1" t="s">
        <v>316</v>
      </c>
      <c r="C5" s="1" t="str">
        <f>VLOOKUP(B5,'Variable Look Up'!A:C,2,FALSE)</f>
        <v>Holiday</v>
      </c>
      <c r="D5" s="1" t="str">
        <f>VLOOKUP(B5,'Variable Look Up'!A:C,3,FALSE)</f>
        <v>Holiday/Seasonality</v>
      </c>
      <c r="E5" s="6">
        <f t="shared" si="1"/>
        <v>0</v>
      </c>
      <c r="F5" s="1">
        <f t="shared" si="0"/>
        <v>0</v>
      </c>
    </row>
    <row r="6" spans="1:11" x14ac:dyDescent="0.2">
      <c r="A6" s="1">
        <v>0</v>
      </c>
      <c r="B6" s="1" t="s">
        <v>302</v>
      </c>
      <c r="C6" s="1" t="str">
        <f>VLOOKUP(B6,'Variable Look Up'!A:C,2,FALSE)</f>
        <v>Holiday</v>
      </c>
      <c r="D6" s="1" t="str">
        <f>VLOOKUP(B6,'Variable Look Up'!A:C,3,FALSE)</f>
        <v>Holiday/Seasonality</v>
      </c>
      <c r="E6" s="6">
        <f t="shared" si="1"/>
        <v>0</v>
      </c>
      <c r="F6" s="1">
        <f t="shared" si="0"/>
        <v>0</v>
      </c>
    </row>
    <row r="7" spans="1:11" x14ac:dyDescent="0.2">
      <c r="A7" s="1">
        <v>0</v>
      </c>
      <c r="B7" s="1" t="s">
        <v>271</v>
      </c>
      <c r="C7" s="1" t="str">
        <f>VLOOKUP(B7,'Variable Look Up'!A:C,2,FALSE)</f>
        <v>Holiday</v>
      </c>
      <c r="D7" s="1" t="str">
        <f>VLOOKUP(B7,'Variable Look Up'!A:C,3,FALSE)</f>
        <v>Holiday/Seasonality</v>
      </c>
      <c r="E7" s="6">
        <f t="shared" si="1"/>
        <v>0</v>
      </c>
      <c r="F7" s="1">
        <f t="shared" si="0"/>
        <v>0</v>
      </c>
    </row>
    <row r="8" spans="1:11" x14ac:dyDescent="0.2">
      <c r="A8" s="1">
        <v>0</v>
      </c>
      <c r="B8" s="1" t="s">
        <v>229</v>
      </c>
      <c r="C8" s="1" t="str">
        <f>VLOOKUP(B8,'Variable Look Up'!A:C,2,FALSE)</f>
        <v>Holiday</v>
      </c>
      <c r="D8" s="1" t="str">
        <f>VLOOKUP(B8,'Variable Look Up'!A:C,3,FALSE)</f>
        <v>Holiday/Seasonality</v>
      </c>
      <c r="E8" s="6">
        <f t="shared" si="1"/>
        <v>0</v>
      </c>
      <c r="F8" s="1">
        <f t="shared" si="0"/>
        <v>0</v>
      </c>
    </row>
    <row r="9" spans="1:11" x14ac:dyDescent="0.2">
      <c r="A9" s="1">
        <v>0</v>
      </c>
      <c r="B9" s="1" t="s">
        <v>303</v>
      </c>
      <c r="C9" s="1" t="str">
        <f>VLOOKUP(B9,'Variable Look Up'!A:C,2,FALSE)</f>
        <v>Holiday</v>
      </c>
      <c r="D9" s="1" t="str">
        <f>VLOOKUP(B9,'Variable Look Up'!A:C,3,FALSE)</f>
        <v>Holiday/Seasonality</v>
      </c>
      <c r="E9" s="6">
        <f t="shared" si="1"/>
        <v>0</v>
      </c>
      <c r="F9" s="1">
        <f t="shared" si="0"/>
        <v>0</v>
      </c>
    </row>
    <row r="10" spans="1:11" x14ac:dyDescent="0.2">
      <c r="A10" s="1">
        <v>258.35159558498498</v>
      </c>
      <c r="B10" s="1" t="s">
        <v>7</v>
      </c>
      <c r="C10" s="1" t="str">
        <f>VLOOKUP(B10,'Variable Look Up'!A:C,2,FALSE)</f>
        <v>Holiday</v>
      </c>
      <c r="D10" s="1" t="str">
        <f>VLOOKUP(B10,'Variable Look Up'!A:C,3,FALSE)</f>
        <v>Holiday/Seasonality</v>
      </c>
      <c r="E10" s="6">
        <f t="shared" si="1"/>
        <v>0.21111456752709493</v>
      </c>
      <c r="F10" s="1">
        <f t="shared" si="0"/>
        <v>182.12220396859897</v>
      </c>
    </row>
    <row r="11" spans="1:11" x14ac:dyDescent="0.2">
      <c r="A11" s="1">
        <v>0</v>
      </c>
      <c r="B11" s="1" t="s">
        <v>304</v>
      </c>
      <c r="C11" s="1" t="str">
        <f>VLOOKUP(B11,'Variable Look Up'!A:C,2,FALSE)</f>
        <v>Holiday</v>
      </c>
      <c r="D11" s="1" t="str">
        <f>VLOOKUP(B11,'Variable Look Up'!A:C,3,FALSE)</f>
        <v>Holiday/Seasonality</v>
      </c>
      <c r="E11" s="6">
        <f t="shared" si="1"/>
        <v>0</v>
      </c>
      <c r="F11" s="1">
        <f t="shared" si="0"/>
        <v>0</v>
      </c>
    </row>
    <row r="12" spans="1:11" x14ac:dyDescent="0.2">
      <c r="A12" s="1">
        <v>0</v>
      </c>
      <c r="B12" s="1" t="s">
        <v>305</v>
      </c>
      <c r="C12" s="1" t="str">
        <f>VLOOKUP(B12,'Variable Look Up'!A:C,2,FALSE)</f>
        <v>Holiday</v>
      </c>
      <c r="D12" s="1" t="str">
        <f>VLOOKUP(B12,'Variable Look Up'!A:C,3,FALSE)</f>
        <v>Holiday/Seasonality</v>
      </c>
      <c r="E12" s="6">
        <f t="shared" si="1"/>
        <v>0</v>
      </c>
      <c r="F12" s="1">
        <f t="shared" si="0"/>
        <v>0</v>
      </c>
    </row>
    <row r="13" spans="1:11" x14ac:dyDescent="0.2">
      <c r="A13" s="1">
        <v>-1399.1757237772499</v>
      </c>
      <c r="B13" s="1" t="s">
        <v>10</v>
      </c>
      <c r="C13" s="1" t="str">
        <f>VLOOKUP(B13,'Variable Look Up'!A:C,2,FALSE)</f>
        <v>Holiday</v>
      </c>
      <c r="D13" s="1" t="str">
        <f>VLOOKUP(B13,'Variable Look Up'!A:C,3,FALSE)</f>
        <v>Holiday/Seasonality</v>
      </c>
      <c r="E13" s="6">
        <f t="shared" si="1"/>
        <v>-1.143350313555453</v>
      </c>
      <c r="F13" s="1">
        <f t="shared" si="0"/>
        <v>-986.33401499488264</v>
      </c>
    </row>
    <row r="14" spans="1:11" x14ac:dyDescent="0.2">
      <c r="A14" s="1">
        <v>0</v>
      </c>
      <c r="B14" s="1" t="s">
        <v>306</v>
      </c>
      <c r="C14" s="1" t="str">
        <f>VLOOKUP(B14,'Variable Look Up'!A:C,2,FALSE)</f>
        <v>Holiday</v>
      </c>
      <c r="D14" s="1" t="str">
        <f>VLOOKUP(B14,'Variable Look Up'!A:C,3,FALSE)</f>
        <v>Holiday/Seasonality</v>
      </c>
      <c r="E14" s="6">
        <f t="shared" si="1"/>
        <v>0</v>
      </c>
      <c r="F14" s="1">
        <f t="shared" si="0"/>
        <v>0</v>
      </c>
    </row>
    <row r="15" spans="1:11" x14ac:dyDescent="0.2">
      <c r="A15" s="1">
        <v>0</v>
      </c>
      <c r="B15" s="1" t="s">
        <v>307</v>
      </c>
      <c r="C15" s="1" t="str">
        <f>VLOOKUP(B15,'Variable Look Up'!A:C,2,FALSE)</f>
        <v>Holiday</v>
      </c>
      <c r="D15" s="1" t="str">
        <f>VLOOKUP(B15,'Variable Look Up'!A:C,3,FALSE)</f>
        <v>Holiday/Seasonality</v>
      </c>
      <c r="E15" s="6">
        <f t="shared" si="1"/>
        <v>0</v>
      </c>
      <c r="F15" s="1">
        <f t="shared" si="0"/>
        <v>0</v>
      </c>
    </row>
    <row r="16" spans="1:11" x14ac:dyDescent="0.2">
      <c r="A16" s="1">
        <v>0</v>
      </c>
      <c r="B16" s="1" t="s">
        <v>308</v>
      </c>
      <c r="C16" s="1" t="str">
        <f>VLOOKUP(B16,'Variable Look Up'!A:C,2,FALSE)</f>
        <v>Holiday</v>
      </c>
      <c r="D16" s="1" t="str">
        <f>VLOOKUP(B16,'Variable Look Up'!A:C,3,FALSE)</f>
        <v>Holiday/Seasonality</v>
      </c>
      <c r="E16" s="6">
        <f t="shared" si="1"/>
        <v>0</v>
      </c>
      <c r="F16" s="1">
        <f t="shared" si="0"/>
        <v>0</v>
      </c>
    </row>
    <row r="17" spans="1:13" x14ac:dyDescent="0.2">
      <c r="A17" s="1">
        <v>0</v>
      </c>
      <c r="B17" s="1" t="s">
        <v>13</v>
      </c>
      <c r="C17" s="1" t="str">
        <f>VLOOKUP(B17,'Variable Look Up'!A:C,2,FALSE)</f>
        <v>Holiday</v>
      </c>
      <c r="D17" s="1" t="str">
        <f>VLOOKUP(B17,'Variable Look Up'!A:C,3,FALSE)</f>
        <v>Holiday/Seasonality</v>
      </c>
      <c r="E17" s="6">
        <f t="shared" si="1"/>
        <v>0</v>
      </c>
      <c r="F17" s="1">
        <f t="shared" si="0"/>
        <v>0</v>
      </c>
    </row>
    <row r="18" spans="1:13" x14ac:dyDescent="0.2">
      <c r="A18" s="1">
        <v>0</v>
      </c>
      <c r="B18" s="1" t="s">
        <v>309</v>
      </c>
      <c r="C18" s="1" t="str">
        <f>VLOOKUP(B18,'Variable Look Up'!A:C,2,FALSE)</f>
        <v>Holiday</v>
      </c>
      <c r="D18" s="1" t="str">
        <f>VLOOKUP(B18,'Variable Look Up'!A:C,3,FALSE)</f>
        <v>Holiday/Seasonality</v>
      </c>
      <c r="E18" s="6">
        <f t="shared" si="1"/>
        <v>0</v>
      </c>
      <c r="F18" s="1">
        <f t="shared" si="0"/>
        <v>0</v>
      </c>
      <c r="L18"/>
      <c r="M18"/>
    </row>
    <row r="19" spans="1:13" x14ac:dyDescent="0.2">
      <c r="A19" s="1">
        <v>0</v>
      </c>
      <c r="B19" s="1" t="s">
        <v>310</v>
      </c>
      <c r="C19" s="1" t="str">
        <f>VLOOKUP(B19,'Variable Look Up'!A:C,2,FALSE)</f>
        <v>Holiday</v>
      </c>
      <c r="D19" s="1" t="str">
        <f>VLOOKUP(B19,'Variable Look Up'!A:C,3,FALSE)</f>
        <v>Holiday/Seasonality</v>
      </c>
      <c r="E19" s="6">
        <f t="shared" si="1"/>
        <v>0</v>
      </c>
      <c r="F19" s="1">
        <f t="shared" si="0"/>
        <v>0</v>
      </c>
    </row>
    <row r="20" spans="1:13" x14ac:dyDescent="0.2">
      <c r="A20" s="1">
        <v>0</v>
      </c>
      <c r="B20" s="1" t="s">
        <v>279</v>
      </c>
      <c r="C20" s="1" t="str">
        <f>VLOOKUP(B20,'Variable Look Up'!A:C,2,FALSE)</f>
        <v>Holiday</v>
      </c>
      <c r="D20" s="1" t="str">
        <f>VLOOKUP(B20,'Variable Look Up'!A:C,3,FALSE)</f>
        <v>Holiday/Seasonality</v>
      </c>
      <c r="E20" s="6">
        <f t="shared" si="1"/>
        <v>0</v>
      </c>
      <c r="F20" s="1">
        <f t="shared" si="0"/>
        <v>0</v>
      </c>
    </row>
    <row r="21" spans="1:13" x14ac:dyDescent="0.2">
      <c r="A21" s="1">
        <v>703.056490700067</v>
      </c>
      <c r="B21" s="1" t="s">
        <v>19</v>
      </c>
      <c r="C21" s="1" t="str">
        <f>VLOOKUP(B21,'Variable Look Up'!A:C,2,FALSE)</f>
        <v>Holiday</v>
      </c>
      <c r="D21" s="1" t="str">
        <f>VLOOKUP(B21,'Variable Look Up'!A:C,3,FALSE)</f>
        <v>Holiday/Seasonality</v>
      </c>
      <c r="E21" s="6">
        <f t="shared" si="1"/>
        <v>0.57450958119760098</v>
      </c>
      <c r="F21" s="1">
        <f t="shared" si="0"/>
        <v>495.61218041173441</v>
      </c>
    </row>
    <row r="22" spans="1:13" x14ac:dyDescent="0.2">
      <c r="A22" s="1">
        <v>0</v>
      </c>
      <c r="B22" s="1" t="s">
        <v>311</v>
      </c>
      <c r="C22" s="1" t="str">
        <f>VLOOKUP(B22,'Variable Look Up'!A:C,2,FALSE)</f>
        <v>Holiday</v>
      </c>
      <c r="D22" s="1" t="str">
        <f>VLOOKUP(B22,'Variable Look Up'!A:C,3,FALSE)</f>
        <v>Holiday/Seasonality</v>
      </c>
      <c r="E22" s="6">
        <f t="shared" si="1"/>
        <v>0</v>
      </c>
      <c r="F22" s="1">
        <f t="shared" si="0"/>
        <v>0</v>
      </c>
    </row>
    <row r="23" spans="1:13" x14ac:dyDescent="0.2">
      <c r="A23" s="1">
        <v>250.79690659037101</v>
      </c>
      <c r="B23" s="1" t="s">
        <v>20</v>
      </c>
      <c r="C23" s="1" t="str">
        <f>VLOOKUP(B23,'Variable Look Up'!A:C,2,FALSE)</f>
        <v>Holiday</v>
      </c>
      <c r="D23" s="1" t="str">
        <f>VLOOKUP(B23,'Variable Look Up'!A:C,3,FALSE)</f>
        <v>Holiday/Seasonality</v>
      </c>
      <c r="E23" s="6">
        <f t="shared" si="1"/>
        <v>0.20494117852096827</v>
      </c>
      <c r="F23" s="1">
        <f t="shared" si="0"/>
        <v>176.7966064746837</v>
      </c>
    </row>
    <row r="24" spans="1:13" x14ac:dyDescent="0.2">
      <c r="A24" s="1">
        <v>0</v>
      </c>
      <c r="B24" s="1" t="s">
        <v>312</v>
      </c>
      <c r="C24" s="1" t="str">
        <f>VLOOKUP(B24,'Variable Look Up'!A:C,2,FALSE)</f>
        <v>Holiday</v>
      </c>
      <c r="D24" s="1" t="str">
        <f>VLOOKUP(B24,'Variable Look Up'!A:C,3,FALSE)</f>
        <v>Holiday/Seasonality</v>
      </c>
      <c r="E24" s="6">
        <f t="shared" si="1"/>
        <v>0</v>
      </c>
      <c r="F24" s="1">
        <f t="shared" si="0"/>
        <v>0</v>
      </c>
    </row>
    <row r="25" spans="1:13" x14ac:dyDescent="0.2">
      <c r="A25" s="1">
        <v>0</v>
      </c>
      <c r="B25" s="1" t="s">
        <v>21</v>
      </c>
      <c r="C25" s="1" t="str">
        <f>VLOOKUP(B25,'Variable Look Up'!A:C,2,FALSE)</f>
        <v>Holiday</v>
      </c>
      <c r="D25" s="1" t="str">
        <f>VLOOKUP(B25,'Variable Look Up'!A:C,3,FALSE)</f>
        <v>Holiday/Seasonality</v>
      </c>
      <c r="E25" s="6">
        <f t="shared" si="1"/>
        <v>0</v>
      </c>
      <c r="F25" s="1">
        <f t="shared" si="0"/>
        <v>0</v>
      </c>
    </row>
    <row r="26" spans="1:13" x14ac:dyDescent="0.2">
      <c r="A26" s="1">
        <v>0</v>
      </c>
      <c r="B26" s="1" t="s">
        <v>22</v>
      </c>
      <c r="C26" s="1" t="str">
        <f>VLOOKUP(B26,'Variable Look Up'!A:C,2,FALSE)</f>
        <v>Holiday</v>
      </c>
      <c r="D26" s="1" t="str">
        <f>VLOOKUP(B26,'Variable Look Up'!A:C,3,FALSE)</f>
        <v>Holiday/Seasonality</v>
      </c>
      <c r="E26" s="6">
        <f t="shared" si="1"/>
        <v>0</v>
      </c>
      <c r="F26" s="1">
        <f t="shared" si="0"/>
        <v>0</v>
      </c>
    </row>
    <row r="27" spans="1:13" x14ac:dyDescent="0.2">
      <c r="A27" s="1">
        <v>-1502.19235220976</v>
      </c>
      <c r="B27" s="1" t="s">
        <v>23</v>
      </c>
      <c r="C27" s="1" t="str">
        <f>VLOOKUP(B27,'Variable Look Up'!A:C,2,FALSE)</f>
        <v>Holiday</v>
      </c>
      <c r="D27" s="1" t="str">
        <f>VLOOKUP(B27,'Variable Look Up'!A:C,3,FALSE)</f>
        <v>Holiday/Seasonality</v>
      </c>
      <c r="E27" s="6">
        <f t="shared" si="1"/>
        <v>-1.2275313727449042</v>
      </c>
      <c r="F27" s="1">
        <f t="shared" si="0"/>
        <v>-1058.9544893258465</v>
      </c>
    </row>
    <row r="28" spans="1:13" x14ac:dyDescent="0.2">
      <c r="A28" s="1">
        <v>39.659381663926901</v>
      </c>
      <c r="B28" s="1" t="s">
        <v>25</v>
      </c>
      <c r="C28" s="1" t="str">
        <f>VLOOKUP(B28,'Variable Look Up'!A:C,2,FALSE)</f>
        <v>Holiday</v>
      </c>
      <c r="D28" s="1" t="str">
        <f>VLOOKUP(B28,'Variable Look Up'!A:C,3,FALSE)</f>
        <v>Holiday/Seasonality</v>
      </c>
      <c r="E28" s="6">
        <f t="shared" si="1"/>
        <v>3.2408056893992468E-2</v>
      </c>
      <c r="F28" s="1">
        <f t="shared" si="0"/>
        <v>27.957458440740481</v>
      </c>
    </row>
    <row r="29" spans="1:13" x14ac:dyDescent="0.2">
      <c r="A29" s="1">
        <v>0</v>
      </c>
      <c r="B29" s="1" t="s">
        <v>313</v>
      </c>
      <c r="C29" s="1" t="str">
        <f>VLOOKUP(B29,'Variable Look Up'!A:C,2,FALSE)</f>
        <v>Holiday</v>
      </c>
      <c r="D29" s="1" t="str">
        <f>VLOOKUP(B29,'Variable Look Up'!A:C,3,FALSE)</f>
        <v>Holiday/Seasonality</v>
      </c>
      <c r="E29" s="6">
        <f t="shared" si="1"/>
        <v>0</v>
      </c>
      <c r="F29" s="1">
        <f t="shared" si="0"/>
        <v>0</v>
      </c>
    </row>
    <row r="30" spans="1:13" x14ac:dyDescent="0.2">
      <c r="A30" s="1">
        <v>0</v>
      </c>
      <c r="B30" s="1" t="s">
        <v>250</v>
      </c>
      <c r="C30" s="1" t="str">
        <f>VLOOKUP(B30,'Variable Look Up'!A:C,2,FALSE)</f>
        <v>Holiday</v>
      </c>
      <c r="D30" s="1" t="str">
        <f>VLOOKUP(B30,'Variable Look Up'!A:C,3,FALSE)</f>
        <v>Holiday/Seasonality</v>
      </c>
      <c r="E30" s="6">
        <f t="shared" si="1"/>
        <v>0</v>
      </c>
      <c r="F30" s="1">
        <f t="shared" si="0"/>
        <v>0</v>
      </c>
    </row>
    <row r="31" spans="1:13" x14ac:dyDescent="0.2">
      <c r="A31" s="1">
        <v>46.748264405189701</v>
      </c>
      <c r="B31" s="1" t="s">
        <v>251</v>
      </c>
      <c r="C31" s="1" t="str">
        <f>VLOOKUP(B31,'Variable Look Up'!A:C,2,FALSE)</f>
        <v>Holiday</v>
      </c>
      <c r="D31" s="1" t="str">
        <f>VLOOKUP(B31,'Variable Look Up'!A:C,3,FALSE)</f>
        <v>Holiday/Seasonality</v>
      </c>
      <c r="E31" s="6">
        <f t="shared" si="1"/>
        <v>3.8200807702375557E-2</v>
      </c>
      <c r="F31" s="1">
        <f t="shared" si="0"/>
        <v>32.954690780608317</v>
      </c>
    </row>
    <row r="32" spans="1:13" x14ac:dyDescent="0.2">
      <c r="A32" s="1">
        <v>0</v>
      </c>
      <c r="B32" s="1" t="s">
        <v>314</v>
      </c>
      <c r="C32" s="1" t="str">
        <f>VLOOKUP(B32,'Variable Look Up'!A:C,2,FALSE)</f>
        <v>Holiday</v>
      </c>
      <c r="D32" s="1" t="str">
        <f>VLOOKUP(B32,'Variable Look Up'!A:C,3,FALSE)</f>
        <v>Holiday/Seasonality</v>
      </c>
      <c r="E32" s="6">
        <f t="shared" si="1"/>
        <v>0</v>
      </c>
      <c r="F32" s="1">
        <f t="shared" si="0"/>
        <v>0</v>
      </c>
    </row>
    <row r="33" spans="1:6" x14ac:dyDescent="0.2">
      <c r="A33" s="1">
        <v>0</v>
      </c>
      <c r="B33" s="1" t="s">
        <v>315</v>
      </c>
      <c r="C33" s="1" t="str">
        <f>VLOOKUP(B33,'Variable Look Up'!A:C,2,FALSE)</f>
        <v>Holiday</v>
      </c>
      <c r="D33" s="1" t="str">
        <f>VLOOKUP(B33,'Variable Look Up'!A:C,3,FALSE)</f>
        <v>Holiday/Seasonality</v>
      </c>
      <c r="E33" s="6">
        <f t="shared" si="1"/>
        <v>0</v>
      </c>
      <c r="F33" s="1">
        <f t="shared" si="0"/>
        <v>0</v>
      </c>
    </row>
    <row r="34" spans="1:6" x14ac:dyDescent="0.2">
      <c r="A34" s="1">
        <v>0</v>
      </c>
      <c r="B34" s="1" t="s">
        <v>44</v>
      </c>
      <c r="C34" s="1" t="str">
        <f>VLOOKUP(B34,'Variable Look Up'!A:C,2,FALSE)</f>
        <v>Holiday</v>
      </c>
      <c r="D34" s="1" t="str">
        <f>VLOOKUP(B34,'Variable Look Up'!A:C,3,FALSE)</f>
        <v>Holiday/Seasonality</v>
      </c>
      <c r="E34" s="6">
        <f t="shared" si="1"/>
        <v>0</v>
      </c>
      <c r="F34" s="1">
        <f t="shared" si="0"/>
        <v>0</v>
      </c>
    </row>
    <row r="35" spans="1:6" x14ac:dyDescent="0.2">
      <c r="A35" s="1">
        <v>0</v>
      </c>
      <c r="B35" s="2" t="s">
        <v>295</v>
      </c>
      <c r="C35" s="1" t="str">
        <f>VLOOKUP(B35,'Variable Look Up'!A:C,2,FALSE)</f>
        <v>Holiday</v>
      </c>
      <c r="D35" s="1" t="str">
        <f>VLOOKUP(B35,'Variable Look Up'!A:C,3,FALSE)</f>
        <v>Holiday/Seasonality</v>
      </c>
      <c r="E35" s="6">
        <f t="shared" si="1"/>
        <v>0</v>
      </c>
      <c r="F35" s="1">
        <f t="shared" si="0"/>
        <v>0</v>
      </c>
    </row>
    <row r="36" spans="1:6" x14ac:dyDescent="0.2">
      <c r="A36" s="1">
        <v>-48.143247716173803</v>
      </c>
      <c r="B36" s="1" t="s">
        <v>259</v>
      </c>
      <c r="C36" s="1" t="str">
        <f>VLOOKUP(B36,'Variable Look Up'!A:C,2,FALSE)</f>
        <v>Holiday</v>
      </c>
      <c r="D36" s="1" t="str">
        <f>VLOOKUP(B36,'Variable Look Up'!A:C,3,FALSE)</f>
        <v>Holiday/Seasonality</v>
      </c>
      <c r="E36" s="6">
        <f t="shared" si="1"/>
        <v>-3.9340732144255181E-2</v>
      </c>
      <c r="F36" s="1">
        <f t="shared" si="0"/>
        <v>-33.938069398884615</v>
      </c>
    </row>
    <row r="37" spans="1:6" x14ac:dyDescent="0.2">
      <c r="A37" s="1">
        <v>175.744702488147</v>
      </c>
      <c r="B37" s="1" t="s">
        <v>46</v>
      </c>
      <c r="C37" s="1" t="str">
        <f>VLOOKUP(B37,'Variable Look Up'!A:C,2,FALSE)</f>
        <v>Holiday</v>
      </c>
      <c r="D37" s="1" t="str">
        <f>VLOOKUP(B37,'Variable Look Up'!A:C,3,FALSE)</f>
        <v>Holiday/Seasonality</v>
      </c>
      <c r="E37" s="6">
        <f t="shared" si="1"/>
        <v>0.14361152590117562</v>
      </c>
      <c r="F37" s="1">
        <f t="shared" si="0"/>
        <v>123.88935504916716</v>
      </c>
    </row>
    <row r="38" spans="1:6" x14ac:dyDescent="0.2">
      <c r="A38" s="1">
        <v>278.186550289217</v>
      </c>
      <c r="B38" s="1" t="s">
        <v>47</v>
      </c>
      <c r="C38" s="1" t="str">
        <f>VLOOKUP(B38,'Variable Look Up'!A:C,2,FALSE)</f>
        <v>Holiday</v>
      </c>
      <c r="D38" s="1" t="str">
        <f>VLOOKUP(B38,'Variable Look Up'!A:C,3,FALSE)</f>
        <v>Holiday/Seasonality</v>
      </c>
      <c r="E38" s="6">
        <f t="shared" si="1"/>
        <v>0.22732289739949937</v>
      </c>
      <c r="F38" s="1">
        <f t="shared" si="0"/>
        <v>196.10464389962613</v>
      </c>
    </row>
    <row r="39" spans="1:6" x14ac:dyDescent="0.2">
      <c r="A39" s="1">
        <v>538.70250290599597</v>
      </c>
      <c r="B39" s="1" t="s">
        <v>48</v>
      </c>
      <c r="C39" s="1" t="str">
        <f>VLOOKUP(B39,'Variable Look Up'!A:C,2,FALSE)</f>
        <v>Holiday</v>
      </c>
      <c r="D39" s="1" t="str">
        <f>VLOOKUP(B39,'Variable Look Up'!A:C,3,FALSE)</f>
        <v>Holiday/Seasonality</v>
      </c>
      <c r="E39" s="6">
        <f t="shared" si="1"/>
        <v>0.44020609073169836</v>
      </c>
      <c r="F39" s="1">
        <f t="shared" si="0"/>
        <v>379.7525882915142</v>
      </c>
    </row>
    <row r="40" spans="1:6" x14ac:dyDescent="0.2">
      <c r="A40" s="1">
        <v>-50.032338672290301</v>
      </c>
      <c r="B40" s="1" t="s">
        <v>50</v>
      </c>
      <c r="C40" s="1" t="str">
        <f>VLOOKUP(B40,'Variable Look Up'!A:C,2,FALSE)</f>
        <v>Holiday</v>
      </c>
      <c r="D40" s="1" t="str">
        <f>VLOOKUP(B40,'Variable Look Up'!A:C,3,FALSE)</f>
        <v>Holiday/Seasonality</v>
      </c>
      <c r="E40" s="6">
        <f t="shared" si="1"/>
        <v>-4.0884421546741143E-2</v>
      </c>
      <c r="F40" s="1">
        <f t="shared" si="0"/>
        <v>-35.269763935727177</v>
      </c>
    </row>
    <row r="41" spans="1:6" x14ac:dyDescent="0.2">
      <c r="A41" s="1">
        <v>-39.951049811598502</v>
      </c>
      <c r="B41" s="1" t="s">
        <v>260</v>
      </c>
      <c r="C41" s="1" t="str">
        <f>VLOOKUP(B41,'Variable Look Up'!A:C,2,FALSE)</f>
        <v>Holiday</v>
      </c>
      <c r="D41" s="1" t="str">
        <f>VLOOKUP(B41,'Variable Look Up'!A:C,3,FALSE)</f>
        <v>Holiday/Seasonality</v>
      </c>
      <c r="E41" s="6">
        <f t="shared" si="1"/>
        <v>-3.2646396412344167E-2</v>
      </c>
      <c r="F41" s="1">
        <f t="shared" si="0"/>
        <v>-28.16306679303694</v>
      </c>
    </row>
    <row r="42" spans="1:6" x14ac:dyDescent="0.2">
      <c r="A42" s="1">
        <v>0</v>
      </c>
      <c r="B42" s="1" t="s">
        <v>297</v>
      </c>
      <c r="C42" s="1" t="str">
        <f>VLOOKUP(B42,'Variable Look Up'!A:C,2,FALSE)</f>
        <v>Holiday</v>
      </c>
      <c r="D42" s="1" t="str">
        <f>VLOOKUP(B42,'Variable Look Up'!A:C,3,FALSE)</f>
        <v>Holiday/Seasonality</v>
      </c>
      <c r="E42" s="6">
        <f t="shared" si="1"/>
        <v>0</v>
      </c>
      <c r="F42" s="1">
        <f t="shared" si="0"/>
        <v>0</v>
      </c>
    </row>
    <row r="43" spans="1:6" x14ac:dyDescent="0.2">
      <c r="A43" s="1">
        <v>96.720502725441705</v>
      </c>
      <c r="B43" s="1" t="s">
        <v>54</v>
      </c>
      <c r="C43" s="1" t="str">
        <f>VLOOKUP(B43,'Variable Look Up'!A:C,2,FALSE)</f>
        <v>Other Promo</v>
      </c>
      <c r="D43" s="1" t="str">
        <f>VLOOKUP(B43,'Variable Look Up'!A:C,3,FALSE)</f>
        <v>Other Promo</v>
      </c>
      <c r="E43" s="6">
        <f t="shared" si="1"/>
        <v>7.9036117650637658E-2</v>
      </c>
      <c r="F43" s="1">
        <f t="shared" si="0"/>
        <v>68.182087613675591</v>
      </c>
    </row>
    <row r="44" spans="1:6" x14ac:dyDescent="0.2">
      <c r="A44" s="1">
        <v>-54.611377816416301</v>
      </c>
      <c r="B44" s="1" t="s">
        <v>55</v>
      </c>
      <c r="C44" s="1" t="str">
        <f>VLOOKUP(B44,'Variable Look Up'!A:C,2,FALSE)</f>
        <v>Other Promo</v>
      </c>
      <c r="D44" s="1" t="str">
        <f>VLOOKUP(B44,'Variable Look Up'!A:C,3,FALSE)</f>
        <v>Other Promo</v>
      </c>
      <c r="E44" s="6">
        <f t="shared" si="1"/>
        <v>-4.4626228778134075E-2</v>
      </c>
      <c r="F44" s="1">
        <f t="shared" si="0"/>
        <v>-38.497708780032923</v>
      </c>
    </row>
    <row r="45" spans="1:6" x14ac:dyDescent="0.2">
      <c r="A45" s="1">
        <v>-201.497771505195</v>
      </c>
      <c r="B45" s="1" t="s">
        <v>56</v>
      </c>
      <c r="C45" s="1" t="str">
        <f>VLOOKUP(B45,'Variable Look Up'!A:C,2,FALSE)</f>
        <v>Other Promo</v>
      </c>
      <c r="D45" s="1" t="str">
        <f>VLOOKUP(B45,'Variable Look Up'!A:C,3,FALSE)</f>
        <v>Other Promo</v>
      </c>
      <c r="E45" s="6">
        <f t="shared" si="1"/>
        <v>-0.16465590155412591</v>
      </c>
      <c r="F45" s="1">
        <f t="shared" si="0"/>
        <v>-142.04370659369778</v>
      </c>
    </row>
    <row r="46" spans="1:6" x14ac:dyDescent="0.2">
      <c r="A46" s="1">
        <v>-19.790151279200298</v>
      </c>
      <c r="B46" s="1" t="s">
        <v>57</v>
      </c>
      <c r="C46" s="1" t="str">
        <f>VLOOKUP(B46,'Variable Look Up'!A:C,2,FALSE)</f>
        <v>ES342</v>
      </c>
      <c r="D46" s="1" t="str">
        <f>VLOOKUP(B46,'Variable Look Up'!A:C,3,FALSE)</f>
        <v>Other Promo</v>
      </c>
      <c r="E46" s="6">
        <f t="shared" si="1"/>
        <v>-1.6171718309476446E-2</v>
      </c>
      <c r="F46" s="1">
        <f t="shared" si="0"/>
        <v>-13.950856234036046</v>
      </c>
    </row>
    <row r="47" spans="1:6" x14ac:dyDescent="0.2">
      <c r="A47" s="1">
        <v>203.401979361716</v>
      </c>
      <c r="B47" s="1" t="s">
        <v>58</v>
      </c>
      <c r="C47" s="1" t="str">
        <f>VLOOKUP(B47,'Variable Look Up'!A:C,2,FALSE)</f>
        <v>Other Promo</v>
      </c>
      <c r="D47" s="1" t="str">
        <f>VLOOKUP(B47,'Variable Look Up'!A:C,3,FALSE)</f>
        <v>Other Promo</v>
      </c>
      <c r="E47" s="6">
        <f t="shared" si="1"/>
        <v>0.16621194388164034</v>
      </c>
      <c r="F47" s="1">
        <f t="shared" si="0"/>
        <v>143.38605762837466</v>
      </c>
    </row>
    <row r="48" spans="1:6" x14ac:dyDescent="0.2">
      <c r="A48" s="1">
        <v>80.225499292756794</v>
      </c>
      <c r="B48" s="1" t="s">
        <v>59</v>
      </c>
      <c r="C48" s="1" t="str">
        <f>VLOOKUP(B48,'Variable Look Up'!A:C,2,FALSE)</f>
        <v>B3G3</v>
      </c>
      <c r="D48" s="1" t="str">
        <f>VLOOKUP(B48,'Variable Look Up'!A:C,3,FALSE)</f>
        <v>B3G3</v>
      </c>
      <c r="E48" s="6">
        <f t="shared" si="1"/>
        <v>6.5557062070724648E-2</v>
      </c>
      <c r="F48" s="1">
        <f t="shared" si="0"/>
        <v>56.554110736552026</v>
      </c>
    </row>
    <row r="49" spans="1:6" x14ac:dyDescent="0.2">
      <c r="A49" s="1">
        <v>-128.68625663771999</v>
      </c>
      <c r="B49" s="1" t="s">
        <v>60</v>
      </c>
      <c r="C49" s="1" t="str">
        <f>VLOOKUP(B49,'Variable Look Up'!A:C,2,FALSE)</f>
        <v>Other Promo</v>
      </c>
      <c r="D49" s="1" t="str">
        <f>VLOOKUP(B49,'Variable Look Up'!A:C,3,FALSE)</f>
        <v>Other Promo</v>
      </c>
      <c r="E49" s="6">
        <f t="shared" si="1"/>
        <v>-0.10515725035580908</v>
      </c>
      <c r="F49" s="1">
        <f t="shared" si="0"/>
        <v>-90.716005164445818</v>
      </c>
    </row>
    <row r="50" spans="1:6" x14ac:dyDescent="0.2">
      <c r="A50" s="1">
        <v>120.816445745854</v>
      </c>
      <c r="B50" s="1" t="s">
        <v>262</v>
      </c>
      <c r="C50" s="1" t="str">
        <f>VLOOKUP(B50,'Variable Look Up'!A:C,2,FALSE)</f>
        <v>B3G3</v>
      </c>
      <c r="D50" s="1" t="str">
        <f>VLOOKUP(B50,'Variable Look Up'!A:C,3,FALSE)</f>
        <v>B3G3</v>
      </c>
      <c r="E50" s="6">
        <f t="shared" si="1"/>
        <v>9.8726356367349929E-2</v>
      </c>
      <c r="F50" s="1">
        <f t="shared" si="0"/>
        <v>85.168265847421765</v>
      </c>
    </row>
    <row r="51" spans="1:6" x14ac:dyDescent="0.2">
      <c r="A51" s="1">
        <v>72.293887297422998</v>
      </c>
      <c r="B51" s="1" t="s">
        <v>61</v>
      </c>
      <c r="C51" s="1" t="str">
        <f>VLOOKUP(B51,'Variable Look Up'!A:C,2,FALSE)</f>
        <v>Other Promo</v>
      </c>
      <c r="D51" s="1" t="str">
        <f>VLOOKUP(B51,'Variable Look Up'!A:C,3,FALSE)</f>
        <v>Other Promo</v>
      </c>
      <c r="E51" s="6">
        <f t="shared" si="1"/>
        <v>5.9075666697895247E-2</v>
      </c>
      <c r="F51" s="1">
        <f t="shared" si="0"/>
        <v>50.962805390273289</v>
      </c>
    </row>
    <row r="52" spans="1:6" x14ac:dyDescent="0.2">
      <c r="A52" s="1">
        <v>54.456479305604098</v>
      </c>
      <c r="B52" s="1" t="s">
        <v>62</v>
      </c>
      <c r="C52" s="1" t="str">
        <f>VLOOKUP(B52,'Variable Look Up'!A:C,2,FALSE)</f>
        <v>Other Promo</v>
      </c>
      <c r="D52" s="1" t="str">
        <f>VLOOKUP(B52,'Variable Look Up'!A:C,3,FALSE)</f>
        <v>Other Promo</v>
      </c>
      <c r="E52" s="6">
        <f t="shared" si="1"/>
        <v>4.4499651924421742E-2</v>
      </c>
      <c r="F52" s="1">
        <f t="shared" si="0"/>
        <v>38.388514725640903</v>
      </c>
    </row>
    <row r="53" spans="1:6" x14ac:dyDescent="0.2">
      <c r="A53" s="1">
        <v>-200.24329880544801</v>
      </c>
      <c r="B53" s="1" t="s">
        <v>63</v>
      </c>
      <c r="C53" s="1" t="str">
        <f>VLOOKUP(B53,'Variable Look Up'!A:C,2,FALSE)</f>
        <v>Other Promo</v>
      </c>
      <c r="D53" s="1" t="str">
        <f>VLOOKUP(B53,'Variable Look Up'!A:C,3,FALSE)</f>
        <v>Other Promo</v>
      </c>
      <c r="E53" s="6">
        <f t="shared" si="1"/>
        <v>-0.16363079675118491</v>
      </c>
      <c r="F53" s="1">
        <f t="shared" si="0"/>
        <v>-141.1593794333447</v>
      </c>
    </row>
    <row r="54" spans="1:6" x14ac:dyDescent="0.2">
      <c r="A54" s="1">
        <v>1.17310799996175</v>
      </c>
      <c r="B54" s="1" t="s">
        <v>65</v>
      </c>
      <c r="C54" s="1" t="str">
        <f>VLOOKUP(B54,'Variable Look Up'!A:C,2,FALSE)</f>
        <v>Other Promo</v>
      </c>
      <c r="D54" s="1" t="str">
        <f>VLOOKUP(B54,'Variable Look Up'!A:C,3,FALSE)</f>
        <v>Other Promo</v>
      </c>
      <c r="E54" s="6">
        <f t="shared" si="1"/>
        <v>9.5861683189423972E-4</v>
      </c>
      <c r="F54" s="1">
        <f t="shared" si="0"/>
        <v>0.82696998237020369</v>
      </c>
    </row>
    <row r="55" spans="1:6" x14ac:dyDescent="0.2">
      <c r="A55" s="1">
        <v>0</v>
      </c>
      <c r="B55" s="1" t="s">
        <v>298</v>
      </c>
      <c r="C55" s="1" t="str">
        <f>VLOOKUP(B55,'Variable Look Up'!A:C,2,FALSE)</f>
        <v>Other Promo</v>
      </c>
      <c r="D55" s="1" t="str">
        <f>VLOOKUP(B55,'Variable Look Up'!A:C,3,FALSE)</f>
        <v>Other Promo</v>
      </c>
      <c r="E55" s="6">
        <f t="shared" si="1"/>
        <v>0</v>
      </c>
      <c r="F55" s="1">
        <f t="shared" si="0"/>
        <v>0</v>
      </c>
    </row>
    <row r="56" spans="1:6" x14ac:dyDescent="0.2">
      <c r="A56" s="1">
        <v>0</v>
      </c>
      <c r="B56" s="1" t="s">
        <v>66</v>
      </c>
      <c r="C56" s="1" t="str">
        <f>VLOOKUP(B56,'Variable Look Up'!A:C,2,FALSE)</f>
        <v>Other Promo</v>
      </c>
      <c r="D56" s="1" t="str">
        <f>VLOOKUP(B56,'Variable Look Up'!A:C,3,FALSE)</f>
        <v>Other Promo</v>
      </c>
      <c r="E56" s="6">
        <f t="shared" si="1"/>
        <v>0</v>
      </c>
      <c r="F56" s="1">
        <f t="shared" si="0"/>
        <v>0</v>
      </c>
    </row>
    <row r="57" spans="1:6" x14ac:dyDescent="0.2">
      <c r="A57" s="1">
        <v>74.805146018859304</v>
      </c>
      <c r="B57" s="1" t="s">
        <v>67</v>
      </c>
      <c r="C57" s="1" t="str">
        <f>VLOOKUP(B57,'Variable Look Up'!A:C,2,FALSE)</f>
        <v>Other Promo</v>
      </c>
      <c r="D57" s="1" t="str">
        <f>VLOOKUP(B57,'Variable Look Up'!A:C,3,FALSE)</f>
        <v>Other Promo</v>
      </c>
      <c r="E57" s="6">
        <f t="shared" si="1"/>
        <v>6.1127766657735727E-2</v>
      </c>
      <c r="F57" s="1">
        <f t="shared" si="0"/>
        <v>52.73309046262888</v>
      </c>
    </row>
    <row r="58" spans="1:6" x14ac:dyDescent="0.2">
      <c r="A58" s="1">
        <v>-24.552184409234702</v>
      </c>
      <c r="B58" s="1" t="s">
        <v>68</v>
      </c>
      <c r="C58" s="1" t="str">
        <f>VLOOKUP(B58,'Variable Look Up'!A:C,2,FALSE)</f>
        <v>Other Promo</v>
      </c>
      <c r="D58" s="1" t="str">
        <f>VLOOKUP(B58,'Variable Look Up'!A:C,3,FALSE)</f>
        <v>Other Promo</v>
      </c>
      <c r="E58" s="6">
        <f t="shared" si="1"/>
        <v>-2.0063060890583927E-2</v>
      </c>
      <c r="F58" s="1">
        <f t="shared" si="0"/>
        <v>-17.307800738480037</v>
      </c>
    </row>
    <row r="59" spans="1:6" x14ac:dyDescent="0.2">
      <c r="A59" s="1">
        <v>-62.256672261170898</v>
      </c>
      <c r="B59" s="1" t="s">
        <v>263</v>
      </c>
      <c r="C59" s="1" t="str">
        <f>VLOOKUP(B59,'Variable Look Up'!A:C,2,FALSE)</f>
        <v>CLX</v>
      </c>
      <c r="D59" s="1" t="str">
        <f>VLOOKUP(B59,'Variable Look Up'!A:C,3,FALSE)</f>
        <v>Other Promo</v>
      </c>
      <c r="E59" s="6">
        <f t="shared" si="1"/>
        <v>-5.0873656926069516E-2</v>
      </c>
      <c r="F59" s="1">
        <f t="shared" si="0"/>
        <v>-43.887177620412388</v>
      </c>
    </row>
    <row r="60" spans="1:6" x14ac:dyDescent="0.2">
      <c r="A60" s="1">
        <v>-3.1303723325259001</v>
      </c>
      <c r="B60" s="1" t="s">
        <v>69</v>
      </c>
      <c r="C60" s="1" t="str">
        <f>VLOOKUP(B60,'Variable Look Up'!A:C,2,FALSE)</f>
        <v>CLX</v>
      </c>
      <c r="D60" s="1" t="str">
        <f>VLOOKUP(B60,'Variable Look Up'!A:C,3,FALSE)</f>
        <v>CLX</v>
      </c>
      <c r="E60" s="6">
        <f t="shared" si="1"/>
        <v>-2.5580147847881047E-3</v>
      </c>
      <c r="F60" s="1">
        <f t="shared" si="0"/>
        <v>-2.2067226143931542</v>
      </c>
    </row>
    <row r="61" spans="1:6" x14ac:dyDescent="0.2">
      <c r="A61" s="1">
        <v>0</v>
      </c>
      <c r="B61" s="1" t="s">
        <v>70</v>
      </c>
      <c r="C61" s="1" t="str">
        <f>VLOOKUP(B61,'Variable Look Up'!A:C,2,FALSE)</f>
        <v>CLX</v>
      </c>
      <c r="D61" s="1" t="str">
        <f>VLOOKUP(B61,'Variable Look Up'!A:C,3,FALSE)</f>
        <v>CLX</v>
      </c>
      <c r="E61" s="6">
        <f t="shared" si="1"/>
        <v>0</v>
      </c>
      <c r="F61" s="1">
        <f t="shared" si="0"/>
        <v>0</v>
      </c>
    </row>
    <row r="62" spans="1:6" x14ac:dyDescent="0.2">
      <c r="A62" s="1">
        <v>57.024356342486797</v>
      </c>
      <c r="B62" s="1" t="s">
        <v>71</v>
      </c>
      <c r="C62" s="1" t="str">
        <f>VLOOKUP(B62,'Variable Look Up'!A:C,2,FALSE)</f>
        <v>CLX</v>
      </c>
      <c r="D62" s="1" t="str">
        <f>VLOOKUP(B62,'Variable Look Up'!A:C,3,FALSE)</f>
        <v>CLX</v>
      </c>
      <c r="E62" s="6">
        <f t="shared" si="1"/>
        <v>4.6598018102020668E-2</v>
      </c>
      <c r="F62" s="1">
        <f t="shared" si="0"/>
        <v>40.198712276070168</v>
      </c>
    </row>
    <row r="63" spans="1:6" x14ac:dyDescent="0.2">
      <c r="A63" s="1">
        <v>-159.787301308341</v>
      </c>
      <c r="B63" s="1" t="s">
        <v>72</v>
      </c>
      <c r="C63" s="1" t="str">
        <f>VLOOKUP(B63,'Variable Look Up'!A:C,2,FALSE)</f>
        <v>CLX</v>
      </c>
      <c r="D63" s="1" t="str">
        <f>VLOOKUP(B63,'Variable Look Up'!A:C,3,FALSE)</f>
        <v>CLX</v>
      </c>
      <c r="E63" s="6">
        <f t="shared" si="1"/>
        <v>-0.13057177733177724</v>
      </c>
      <c r="F63" s="1">
        <f t="shared" ref="F63:F125" si="2">E63*$K$1</f>
        <v>-112.64035515080427</v>
      </c>
    </row>
    <row r="64" spans="1:6" x14ac:dyDescent="0.2">
      <c r="A64" s="1">
        <v>205.252477518803</v>
      </c>
      <c r="B64" s="1" t="s">
        <v>73</v>
      </c>
      <c r="C64" s="1" t="str">
        <f>VLOOKUP(B64,'Variable Look Up'!A:C,2,FALSE)</f>
        <v>CLX</v>
      </c>
      <c r="D64" s="1" t="str">
        <f>VLOOKUP(B64,'Variable Look Up'!A:C,3,FALSE)</f>
        <v>CLX</v>
      </c>
      <c r="E64" s="6">
        <f t="shared" si="1"/>
        <v>0.16772409679580572</v>
      </c>
      <c r="F64" s="1">
        <f t="shared" si="2"/>
        <v>144.6905465828377</v>
      </c>
    </row>
    <row r="65" spans="1:6" x14ac:dyDescent="0.2">
      <c r="A65" s="1">
        <v>-67.907771993589407</v>
      </c>
      <c r="B65" s="1" t="s">
        <v>74</v>
      </c>
      <c r="C65" s="1" t="str">
        <f>VLOOKUP(B65,'Variable Look Up'!A:C,2,FALSE)</f>
        <v>CLX</v>
      </c>
      <c r="D65" s="1" t="str">
        <f>VLOOKUP(B65,'Variable Look Up'!A:C,3,FALSE)</f>
        <v>CLX</v>
      </c>
      <c r="E65" s="6">
        <f t="shared" si="1"/>
        <v>-5.5491509095167375E-2</v>
      </c>
      <c r="F65" s="1">
        <f t="shared" si="2"/>
        <v>-47.870860151128035</v>
      </c>
    </row>
    <row r="66" spans="1:6" x14ac:dyDescent="0.2">
      <c r="A66" s="1">
        <v>37.638724941745799</v>
      </c>
      <c r="B66" s="1" t="s">
        <v>75</v>
      </c>
      <c r="C66" s="1" t="str">
        <f>VLOOKUP(B66,'Variable Look Up'!A:C,2,FALSE)</f>
        <v>CLX</v>
      </c>
      <c r="D66" s="1" t="str">
        <f>VLOOKUP(B66,'Variable Look Up'!A:C,3,FALSE)</f>
        <v>CLX</v>
      </c>
      <c r="E66" s="6">
        <f t="shared" si="1"/>
        <v>3.0756857221476207E-2</v>
      </c>
      <c r="F66" s="1">
        <f t="shared" si="2"/>
        <v>26.533018019250878</v>
      </c>
    </row>
    <row r="67" spans="1:6" x14ac:dyDescent="0.2">
      <c r="A67" s="1">
        <v>77.278484161889196</v>
      </c>
      <c r="B67" s="1" t="s">
        <v>76</v>
      </c>
      <c r="C67" s="1" t="str">
        <f>VLOOKUP(B67,'Variable Look Up'!A:C,2,FALSE)</f>
        <v>CLX</v>
      </c>
      <c r="D67" s="1" t="str">
        <f>VLOOKUP(B67,'Variable Look Up'!A:C,3,FALSE)</f>
        <v>CLX</v>
      </c>
      <c r="E67" s="6">
        <f t="shared" ref="E67:E130" si="3">A67/SUM($A$2:$A$131)</f>
        <v>6.3148879441001893E-2</v>
      </c>
      <c r="F67" s="1">
        <f t="shared" si="2"/>
        <v>54.476643827369102</v>
      </c>
    </row>
    <row r="68" spans="1:6" x14ac:dyDescent="0.2">
      <c r="A68" s="1">
        <v>-175.791904062469</v>
      </c>
      <c r="B68" s="1" t="s">
        <v>77</v>
      </c>
      <c r="C68" s="1" t="str">
        <f>VLOOKUP(B68,'Variable Look Up'!A:C,2,FALSE)</f>
        <v>CLX</v>
      </c>
      <c r="D68" s="1" t="str">
        <f>VLOOKUP(B68,'Variable Look Up'!A:C,3,FALSE)</f>
        <v>CLX</v>
      </c>
      <c r="E68" s="6">
        <f t="shared" si="3"/>
        <v>-0.14365009713557045</v>
      </c>
      <c r="F68" s="1">
        <f t="shared" si="2"/>
        <v>-123.92262929594256</v>
      </c>
    </row>
    <row r="69" spans="1:6" x14ac:dyDescent="0.2">
      <c r="A69" s="1">
        <v>0</v>
      </c>
      <c r="B69" s="1" t="s">
        <v>78</v>
      </c>
      <c r="C69" s="1" t="str">
        <f>VLOOKUP(B69,'Variable Look Up'!A:C,2,FALSE)</f>
        <v>Base</v>
      </c>
      <c r="D69" s="1" t="str">
        <f>VLOOKUP(B69,'Variable Look Up'!A:C,3,FALSE)</f>
        <v>Base</v>
      </c>
      <c r="E69" s="6">
        <f t="shared" si="3"/>
        <v>0</v>
      </c>
      <c r="F69" s="1">
        <f t="shared" si="2"/>
        <v>0</v>
      </c>
    </row>
    <row r="70" spans="1:6" x14ac:dyDescent="0.2">
      <c r="A70" s="1">
        <v>-38.433688796306598</v>
      </c>
      <c r="B70" s="1" t="s">
        <v>79</v>
      </c>
      <c r="C70" s="1" t="str">
        <f>VLOOKUP(B70,'Variable Look Up'!A:C,2,FALSE)</f>
        <v>Base</v>
      </c>
      <c r="D70" s="1" t="str">
        <f>VLOOKUP(B70,'Variable Look Up'!A:C,3,FALSE)</f>
        <v>Base</v>
      </c>
      <c r="E70" s="6">
        <f t="shared" si="3"/>
        <v>-3.1406469816185605E-2</v>
      </c>
      <c r="F70" s="1">
        <f t="shared" si="2"/>
        <v>-27.093419316328834</v>
      </c>
    </row>
    <row r="71" spans="1:6" x14ac:dyDescent="0.2">
      <c r="A71" s="1">
        <v>506.82310628799598</v>
      </c>
      <c r="B71" s="1" t="s">
        <v>80</v>
      </c>
      <c r="C71" s="1" t="str">
        <f>VLOOKUP(B71,'Variable Look Up'!A:C,2,FALSE)</f>
        <v>Base</v>
      </c>
      <c r="D71" s="1" t="str">
        <f>VLOOKUP(B71,'Variable Look Up'!A:C,3,FALSE)</f>
        <v>Base</v>
      </c>
      <c r="E71" s="6">
        <f t="shared" si="3"/>
        <v>0.41415552574565828</v>
      </c>
      <c r="F71" s="1">
        <f t="shared" si="2"/>
        <v>357.279547395007</v>
      </c>
    </row>
    <row r="72" spans="1:6" x14ac:dyDescent="0.2">
      <c r="A72" s="1">
        <v>-69.931248985012999</v>
      </c>
      <c r="B72" s="1" t="s">
        <v>82</v>
      </c>
      <c r="C72" s="1" t="str">
        <f>VLOOKUP(B72,'Variable Look Up'!A:C,2,FALSE)</f>
        <v>Day of Week</v>
      </c>
      <c r="D72" s="1" t="str">
        <f>VLOOKUP(B72,'Variable Look Up'!A:C,3,FALSE)</f>
        <v>Base</v>
      </c>
      <c r="E72" s="6">
        <f t="shared" si="3"/>
        <v>-5.7145013378654165E-2</v>
      </c>
      <c r="F72" s="1">
        <f t="shared" si="2"/>
        <v>-49.297288691363583</v>
      </c>
    </row>
    <row r="73" spans="1:6" x14ac:dyDescent="0.2">
      <c r="A73" s="1">
        <v>-63.5595420328494</v>
      </c>
      <c r="B73" s="1" t="s">
        <v>83</v>
      </c>
      <c r="C73" s="1" t="str">
        <f>VLOOKUP(B73,'Variable Look Up'!A:C,2,FALSE)</f>
        <v>Day of Week</v>
      </c>
      <c r="D73" s="1" t="str">
        <f>VLOOKUP(B73,'Variable Look Up'!A:C,3,FALSE)</f>
        <v>Base</v>
      </c>
      <c r="E73" s="6">
        <f t="shared" si="3"/>
        <v>-5.1938309876128623E-2</v>
      </c>
      <c r="F73" s="1">
        <f t="shared" si="2"/>
        <v>-44.805621780839878</v>
      </c>
    </row>
    <row r="74" spans="1:6" x14ac:dyDescent="0.2">
      <c r="A74" s="1">
        <v>-40.913531084577599</v>
      </c>
      <c r="B74" s="1" t="s">
        <v>84</v>
      </c>
      <c r="C74" s="1" t="str">
        <f>VLOOKUP(B74,'Variable Look Up'!A:C,2,FALSE)</f>
        <v>Day of Week</v>
      </c>
      <c r="D74" s="1" t="str">
        <f>VLOOKUP(B74,'Variable Look Up'!A:C,3,FALSE)</f>
        <v>Base</v>
      </c>
      <c r="E74" s="6">
        <f t="shared" si="3"/>
        <v>-3.3432897526215047E-2</v>
      </c>
      <c r="F74" s="1">
        <f t="shared" si="2"/>
        <v>-28.841557708939934</v>
      </c>
    </row>
    <row r="75" spans="1:6" x14ac:dyDescent="0.2">
      <c r="A75" s="1">
        <v>4.0763870117570704</v>
      </c>
      <c r="B75" s="1" t="s">
        <v>85</v>
      </c>
      <c r="C75" s="1" t="str">
        <f>VLOOKUP(B75,'Variable Look Up'!A:C,2,FALSE)</f>
        <v>Day of Week</v>
      </c>
      <c r="D75" s="1" t="str">
        <f>VLOOKUP(B75,'Variable Look Up'!A:C,3,FALSE)</f>
        <v>Base</v>
      </c>
      <c r="E75" s="6">
        <f t="shared" si="3"/>
        <v>3.3310600583346143E-3</v>
      </c>
      <c r="F75" s="1">
        <f t="shared" si="2"/>
        <v>2.8736055805235217</v>
      </c>
    </row>
    <row r="76" spans="1:6" x14ac:dyDescent="0.2">
      <c r="A76" s="1">
        <v>90.185373625754593</v>
      </c>
      <c r="B76" s="1" t="s">
        <v>86</v>
      </c>
      <c r="C76" s="1" t="str">
        <f>VLOOKUP(B76,'Variable Look Up'!A:C,2,FALSE)</f>
        <v>Day of Week</v>
      </c>
      <c r="D76" s="1" t="str">
        <f>VLOOKUP(B76,'Variable Look Up'!A:C,3,FALSE)</f>
        <v>Base</v>
      </c>
      <c r="E76" s="6">
        <f t="shared" si="3"/>
        <v>7.3695872120161196E-2</v>
      </c>
      <c r="F76" s="1">
        <f t="shared" si="2"/>
        <v>63.575218001899458</v>
      </c>
    </row>
    <row r="77" spans="1:6" x14ac:dyDescent="0.2">
      <c r="A77" s="1">
        <v>487.17736458435098</v>
      </c>
      <c r="B77" s="1" t="s">
        <v>87</v>
      </c>
      <c r="C77" s="1" t="str">
        <f>VLOOKUP(B77,'Variable Look Up'!A:C,2,FALSE)</f>
        <v>Day of Week</v>
      </c>
      <c r="D77" s="1" t="str">
        <f>VLOOKUP(B77,'Variable Look Up'!A:C,3,FALSE)</f>
        <v>Base</v>
      </c>
      <c r="E77" s="6">
        <f t="shared" si="3"/>
        <v>0.39810181315246584</v>
      </c>
      <c r="F77" s="1">
        <f t="shared" si="2"/>
        <v>343.43049115223772</v>
      </c>
    </row>
    <row r="78" spans="1:6" x14ac:dyDescent="0.2">
      <c r="A78" s="1">
        <v>0</v>
      </c>
      <c r="B78" s="1" t="s">
        <v>88</v>
      </c>
      <c r="C78" s="1" t="str">
        <f>VLOOKUP(B78,'Variable Look Up'!A:C,2,FALSE)</f>
        <v>Day of Week</v>
      </c>
      <c r="D78" s="1" t="str">
        <f>VLOOKUP(B78,'Variable Look Up'!A:C,3,FALSE)</f>
        <v>Base</v>
      </c>
      <c r="E78" s="6">
        <f t="shared" si="3"/>
        <v>0</v>
      </c>
      <c r="F78" s="1">
        <f t="shared" si="2"/>
        <v>0</v>
      </c>
    </row>
    <row r="79" spans="1:6" x14ac:dyDescent="0.2">
      <c r="A79" s="1">
        <v>116.07173799647499</v>
      </c>
      <c r="B79" s="1" t="s">
        <v>89</v>
      </c>
      <c r="C79" s="1" t="str">
        <f>VLOOKUP(B79,'Variable Look Up'!A:C,2,FALSE)</f>
        <v>Seasonality</v>
      </c>
      <c r="D79" s="1" t="str">
        <f>VLOOKUP(B79,'Variable Look Up'!A:C,3,FALSE)</f>
        <v>Holiday/Seasonality</v>
      </c>
      <c r="E79" s="6">
        <f t="shared" si="3"/>
        <v>9.484917139280194E-2</v>
      </c>
      <c r="F79" s="1">
        <f t="shared" si="2"/>
        <v>81.823534685428442</v>
      </c>
    </row>
    <row r="80" spans="1:6" x14ac:dyDescent="0.2">
      <c r="A80" s="1">
        <v>-88.107365885671797</v>
      </c>
      <c r="B80" s="1" t="s">
        <v>90</v>
      </c>
      <c r="C80" s="1" t="str">
        <f>VLOOKUP(B80,'Variable Look Up'!A:C,2,FALSE)</f>
        <v>Seasonality</v>
      </c>
      <c r="D80" s="1" t="str">
        <f>VLOOKUP(B80,'Variable Look Up'!A:C,3,FALSE)</f>
        <v>Holiday/Seasonality</v>
      </c>
      <c r="E80" s="6">
        <f t="shared" si="3"/>
        <v>-7.1997807494811411E-2</v>
      </c>
      <c r="F80" s="1">
        <f t="shared" si="2"/>
        <v>-62.110348591548956</v>
      </c>
    </row>
    <row r="81" spans="1:6" x14ac:dyDescent="0.2">
      <c r="A81" s="1">
        <v>-73.859764565708105</v>
      </c>
      <c r="B81" s="1" t="s">
        <v>91</v>
      </c>
      <c r="C81" s="1" t="str">
        <f>VLOOKUP(B81,'Variable Look Up'!A:C,2,FALSE)</f>
        <v>Seasonality</v>
      </c>
      <c r="D81" s="1" t="str">
        <f>VLOOKUP(B81,'Variable Look Up'!A:C,3,FALSE)</f>
        <v>Holiday/Seasonality</v>
      </c>
      <c r="E81" s="6">
        <f t="shared" si="3"/>
        <v>-6.0355238831158016E-2</v>
      </c>
      <c r="F81" s="1">
        <f t="shared" si="2"/>
        <v>-52.06665388247508</v>
      </c>
    </row>
    <row r="82" spans="1:6" x14ac:dyDescent="0.2">
      <c r="A82" s="1">
        <v>12.983109161913699</v>
      </c>
      <c r="B82" s="1" t="s">
        <v>92</v>
      </c>
      <c r="C82" s="1" t="str">
        <f>VLOOKUP(B82,'Variable Look Up'!A:C,2,FALSE)</f>
        <v>Seasonality</v>
      </c>
      <c r="D82" s="1" t="str">
        <f>VLOOKUP(B82,'Variable Look Up'!A:C,3,FALSE)</f>
        <v>Holiday/Seasonality</v>
      </c>
      <c r="E82" s="6">
        <f t="shared" si="3"/>
        <v>1.0609276361031204E-2</v>
      </c>
      <c r="F82" s="1">
        <f t="shared" si="2"/>
        <v>9.1523044383707877</v>
      </c>
    </row>
    <row r="83" spans="1:6" x14ac:dyDescent="0.2">
      <c r="A83" s="1">
        <v>179.581460895465</v>
      </c>
      <c r="B83" s="1" t="s">
        <v>93</v>
      </c>
      <c r="C83" s="1" t="str">
        <f>VLOOKUP(B83,'Variable Look Up'!A:C,2,FALSE)</f>
        <v>Seasonality</v>
      </c>
      <c r="D83" s="1" t="str">
        <f>VLOOKUP(B83,'Variable Look Up'!A:C,3,FALSE)</f>
        <v>Holiday/Seasonality</v>
      </c>
      <c r="E83" s="6">
        <f t="shared" si="3"/>
        <v>0.14674677106981029</v>
      </c>
      <c r="F83" s="1">
        <f t="shared" si="2"/>
        <v>126.59403699879324</v>
      </c>
    </row>
    <row r="84" spans="1:6" x14ac:dyDescent="0.2">
      <c r="A84" s="1">
        <v>-34.439239495597498</v>
      </c>
      <c r="B84" s="1" t="s">
        <v>94</v>
      </c>
      <c r="C84" s="1" t="str">
        <f>VLOOKUP(B84,'Variable Look Up'!A:C,2,FALSE)</f>
        <v>Seasonality</v>
      </c>
      <c r="D84" s="1" t="str">
        <f>VLOOKUP(B84,'Variable Look Up'!A:C,3,FALSE)</f>
        <v>Holiday/Seasonality</v>
      </c>
      <c r="E84" s="6">
        <f t="shared" si="3"/>
        <v>-2.8142365970731675E-2</v>
      </c>
      <c r="F84" s="1">
        <f t="shared" si="2"/>
        <v>-24.277574851971092</v>
      </c>
    </row>
    <row r="85" spans="1:6" x14ac:dyDescent="0.2">
      <c r="A85" s="1">
        <v>-4.6595466730760897</v>
      </c>
      <c r="B85" s="1" t="s">
        <v>95</v>
      </c>
      <c r="C85" s="1" t="str">
        <f>VLOOKUP(B85,'Variable Look Up'!A:C,2,FALSE)</f>
        <v>Seasonality</v>
      </c>
      <c r="D85" s="1" t="str">
        <f>VLOOKUP(B85,'Variable Look Up'!A:C,3,FALSE)</f>
        <v>Holiday/Seasonality</v>
      </c>
      <c r="E85" s="6">
        <f t="shared" si="3"/>
        <v>-3.8075947567940771E-3</v>
      </c>
      <c r="F85" s="1">
        <f t="shared" si="2"/>
        <v>-3.2846977688435466</v>
      </c>
    </row>
    <row r="86" spans="1:6" x14ac:dyDescent="0.2">
      <c r="A86" s="1">
        <v>13.8523042837214</v>
      </c>
      <c r="B86" s="1" t="s">
        <v>96</v>
      </c>
      <c r="C86" s="1" t="str">
        <f>VLOOKUP(B86,'Variable Look Up'!A:C,2,FALSE)</f>
        <v>Seasonality</v>
      </c>
      <c r="D86" s="1" t="str">
        <f>VLOOKUP(B86,'Variable Look Up'!A:C,3,FALSE)</f>
        <v>Holiday/Seasonality</v>
      </c>
      <c r="E86" s="6">
        <f t="shared" si="3"/>
        <v>1.1319547771670628E-2</v>
      </c>
      <c r="F86" s="1">
        <f t="shared" si="2"/>
        <v>9.7650342761870998</v>
      </c>
    </row>
    <row r="87" spans="1:6" x14ac:dyDescent="0.2">
      <c r="A87" s="1">
        <v>-47.920357258663998</v>
      </c>
      <c r="B87" s="1" t="s">
        <v>97</v>
      </c>
      <c r="C87" s="1" t="str">
        <f>VLOOKUP(B87,'Variable Look Up'!A:C,2,FALSE)</f>
        <v>Seasonality</v>
      </c>
      <c r="D87" s="1" t="str">
        <f>VLOOKUP(B87,'Variable Look Up'!A:C,3,FALSE)</f>
        <v>Holiday/Seasonality</v>
      </c>
      <c r="E87" s="6">
        <f t="shared" si="3"/>
        <v>-3.9158594997253819E-2</v>
      </c>
      <c r="F87" s="1">
        <f t="shared" si="2"/>
        <v>-33.780945146280949</v>
      </c>
    </row>
    <row r="88" spans="1:6" x14ac:dyDescent="0.2">
      <c r="A88" s="1">
        <v>-107.163961786472</v>
      </c>
      <c r="B88" s="1" t="s">
        <v>98</v>
      </c>
      <c r="C88" s="1" t="str">
        <f>VLOOKUP(B88,'Variable Look Up'!A:C,2,FALSE)</f>
        <v>Seasonality</v>
      </c>
      <c r="D88" s="1" t="str">
        <f>VLOOKUP(B88,'Variable Look Up'!A:C,3,FALSE)</f>
        <v>Holiday/Seasonality</v>
      </c>
      <c r="E88" s="6">
        <f t="shared" si="3"/>
        <v>-8.7570093754652356E-2</v>
      </c>
      <c r="F88" s="1">
        <f t="shared" si="2"/>
        <v>-75.54409277932595</v>
      </c>
    </row>
    <row r="89" spans="1:6" x14ac:dyDescent="0.2">
      <c r="A89" s="1">
        <v>-91.633103534834504</v>
      </c>
      <c r="B89" s="1" t="s">
        <v>99</v>
      </c>
      <c r="C89" s="1" t="str">
        <f>VLOOKUP(B89,'Variable Look Up'!A:C,2,FALSE)</f>
        <v>Seasonality</v>
      </c>
      <c r="D89" s="1" t="str">
        <f>VLOOKUP(B89,'Variable Look Up'!A:C,3,FALSE)</f>
        <v>Holiday/Seasonality</v>
      </c>
      <c r="E89" s="6">
        <f t="shared" si="3"/>
        <v>-7.4878898967583568E-2</v>
      </c>
      <c r="F89" s="1">
        <f t="shared" si="2"/>
        <v>-64.595779772365319</v>
      </c>
    </row>
    <row r="90" spans="1:6" x14ac:dyDescent="0.2">
      <c r="A90" s="1">
        <v>-95.099892556295103</v>
      </c>
      <c r="B90" s="1" t="s">
        <v>100</v>
      </c>
      <c r="C90" s="1" t="str">
        <f>VLOOKUP(B90,'Variable Look Up'!A:C,2,FALSE)</f>
        <v>Seasonality</v>
      </c>
      <c r="D90" s="1" t="str">
        <f>VLOOKUP(B90,'Variable Look Up'!A:C,3,FALSE)</f>
        <v>Holiday/Seasonality</v>
      </c>
      <c r="E90" s="6">
        <f t="shared" si="3"/>
        <v>-7.7711819984835742E-2</v>
      </c>
      <c r="F90" s="1">
        <f t="shared" si="2"/>
        <v>-67.039655746318246</v>
      </c>
    </row>
    <row r="91" spans="1:6" x14ac:dyDescent="0.2">
      <c r="A91" s="1">
        <v>63.252643523794099</v>
      </c>
      <c r="B91" s="1" t="s">
        <v>101</v>
      </c>
      <c r="C91" s="1" t="str">
        <f>VLOOKUP(B91,'Variable Look Up'!A:C,2,FALSE)</f>
        <v>Seasonality</v>
      </c>
      <c r="D91" s="1" t="str">
        <f>VLOOKUP(B91,'Variable Look Up'!A:C,3,FALSE)</f>
        <v>Holiday/Seasonality</v>
      </c>
      <c r="E91" s="6">
        <f t="shared" si="3"/>
        <v>5.1687524716984498E-2</v>
      </c>
      <c r="F91" s="1">
        <f t="shared" si="2"/>
        <v>44.589276947601014</v>
      </c>
    </row>
    <row r="92" spans="1:6" x14ac:dyDescent="0.2">
      <c r="A92" s="1">
        <v>-52.550586812959502</v>
      </c>
      <c r="B92" s="1" t="s">
        <v>102</v>
      </c>
      <c r="C92" s="1" t="str">
        <f>VLOOKUP(B92,'Variable Look Up'!A:C,2,FALSE)</f>
        <v>Seasonality</v>
      </c>
      <c r="D92" s="1" t="str">
        <f>VLOOKUP(B92,'Variable Look Up'!A:C,3,FALSE)</f>
        <v>Holiday/Seasonality</v>
      </c>
      <c r="E92" s="6">
        <f t="shared" si="3"/>
        <v>-4.2942232979798101E-2</v>
      </c>
      <c r="F92" s="1">
        <f t="shared" si="2"/>
        <v>-37.044976124682428</v>
      </c>
    </row>
    <row r="93" spans="1:6" x14ac:dyDescent="0.2">
      <c r="A93" s="1">
        <v>-44.056059894892201</v>
      </c>
      <c r="B93" s="1" t="s">
        <v>103</v>
      </c>
      <c r="C93" s="1" t="str">
        <f>VLOOKUP(B93,'Variable Look Up'!A:C,2,FALSE)</f>
        <v>Seasonality</v>
      </c>
      <c r="D93" s="1" t="str">
        <f>VLOOKUP(B93,'Variable Look Up'!A:C,3,FALSE)</f>
        <v>Holiday/Seasonality</v>
      </c>
      <c r="E93" s="6">
        <f t="shared" si="3"/>
        <v>-3.6000846097342672E-2</v>
      </c>
      <c r="F93" s="1">
        <f t="shared" si="2"/>
        <v>-31.0568499027946</v>
      </c>
    </row>
    <row r="94" spans="1:6" x14ac:dyDescent="0.2">
      <c r="A94" s="1">
        <v>-19.756986567384899</v>
      </c>
      <c r="B94" s="1" t="s">
        <v>104</v>
      </c>
      <c r="C94" s="1" t="str">
        <f>VLOOKUP(B94,'Variable Look Up'!A:C,2,FALSE)</f>
        <v>Seasonality</v>
      </c>
      <c r="D94" s="1" t="str">
        <f>VLOOKUP(B94,'Variable Look Up'!A:C,3,FALSE)</f>
        <v>Holiday/Seasonality</v>
      </c>
      <c r="E94" s="6">
        <f t="shared" si="3"/>
        <v>-1.6144617436434749E-2</v>
      </c>
      <c r="F94" s="1">
        <f t="shared" si="2"/>
        <v>-13.927477123889165</v>
      </c>
    </row>
    <row r="95" spans="1:6" x14ac:dyDescent="0.2">
      <c r="A95" s="1">
        <v>-57.717810291115299</v>
      </c>
      <c r="B95" s="1" t="s">
        <v>105</v>
      </c>
      <c r="C95" s="1" t="str">
        <f>VLOOKUP(B95,'Variable Look Up'!A:C,2,FALSE)</f>
        <v>Seasonality</v>
      </c>
      <c r="D95" s="1" t="str">
        <f>VLOOKUP(B95,'Variable Look Up'!A:C,3,FALSE)</f>
        <v>Holiday/Seasonality</v>
      </c>
      <c r="E95" s="6">
        <f t="shared" si="3"/>
        <v>-4.7164680870768715E-2</v>
      </c>
      <c r="F95" s="1">
        <f t="shared" si="2"/>
        <v>-40.687555246786047</v>
      </c>
    </row>
    <row r="96" spans="1:6" x14ac:dyDescent="0.2">
      <c r="A96" s="1">
        <v>62.164726179838802</v>
      </c>
      <c r="B96" s="1" t="s">
        <v>106</v>
      </c>
      <c r="C96" s="1" t="str">
        <f>VLOOKUP(B96,'Variable Look Up'!A:C,2,FALSE)</f>
        <v>Seasonality</v>
      </c>
      <c r="D96" s="1" t="str">
        <f>VLOOKUP(B96,'Variable Look Up'!A:C,3,FALSE)</f>
        <v>Holiday/Seasonality</v>
      </c>
      <c r="E96" s="6">
        <f t="shared" si="3"/>
        <v>5.0798522274192161E-2</v>
      </c>
      <c r="F96" s="1">
        <f t="shared" si="2"/>
        <v>43.82236121027735</v>
      </c>
    </row>
    <row r="97" spans="1:6" x14ac:dyDescent="0.2">
      <c r="A97" s="1">
        <v>-22.952581007988201</v>
      </c>
      <c r="B97" s="1" t="s">
        <v>107</v>
      </c>
      <c r="C97" s="1" t="str">
        <f>VLOOKUP(B97,'Variable Look Up'!A:C,2,FALSE)</f>
        <v>Seasonality</v>
      </c>
      <c r="D97" s="1" t="str">
        <f>VLOOKUP(B97,'Variable Look Up'!A:C,3,FALSE)</f>
        <v>Holiday/Seasonality</v>
      </c>
      <c r="E97" s="6">
        <f t="shared" si="3"/>
        <v>-1.8755929113424306E-2</v>
      </c>
      <c r="F97" s="1">
        <f t="shared" si="2"/>
        <v>-16.180177368277747</v>
      </c>
    </row>
    <row r="98" spans="1:6" x14ac:dyDescent="0.2">
      <c r="A98" s="1">
        <v>-62.6812759067058</v>
      </c>
      <c r="B98" s="1" t="s">
        <v>108</v>
      </c>
      <c r="C98" s="1" t="str">
        <f>VLOOKUP(B98,'Variable Look Up'!A:C,2,FALSE)</f>
        <v>Seasonality</v>
      </c>
      <c r="D98" s="1" t="str">
        <f>VLOOKUP(B98,'Variable Look Up'!A:C,3,FALSE)</f>
        <v>Holiday/Seasonality</v>
      </c>
      <c r="E98" s="6">
        <f t="shared" si="3"/>
        <v>-5.1220626004369794E-2</v>
      </c>
      <c r="F98" s="1">
        <f t="shared" si="2"/>
        <v>-44.186497435189686</v>
      </c>
    </row>
    <row r="99" spans="1:6" x14ac:dyDescent="0.2">
      <c r="A99" s="1">
        <v>-14.9722573970152</v>
      </c>
      <c r="B99" s="1" t="s">
        <v>109</v>
      </c>
      <c r="C99" s="1" t="str">
        <f>VLOOKUP(B99,'Variable Look Up'!A:C,2,FALSE)</f>
        <v>Seasonality</v>
      </c>
      <c r="D99" s="1" t="str">
        <f>VLOOKUP(B99,'Variable Look Up'!A:C,3,FALSE)</f>
        <v>Holiday/Seasonality</v>
      </c>
      <c r="E99" s="6">
        <f t="shared" si="3"/>
        <v>-1.2234728560967776E-2</v>
      </c>
      <c r="F99" s="1">
        <f t="shared" si="2"/>
        <v>-10.55453328769007</v>
      </c>
    </row>
    <row r="100" spans="1:6" x14ac:dyDescent="0.2">
      <c r="A100" s="1">
        <v>40.383645834819802</v>
      </c>
      <c r="B100" s="1" t="s">
        <v>110</v>
      </c>
      <c r="C100" s="1" t="str">
        <f>VLOOKUP(B100,'Variable Look Up'!A:C,2,FALSE)</f>
        <v>Seasonality</v>
      </c>
      <c r="D100" s="1" t="str">
        <f>VLOOKUP(B100,'Variable Look Up'!A:C,3,FALSE)</f>
        <v>Holiday/Seasonality</v>
      </c>
      <c r="E100" s="6">
        <f t="shared" si="3"/>
        <v>3.2999896541304141E-2</v>
      </c>
      <c r="F100" s="1">
        <f t="shared" si="2"/>
        <v>28.468020749286843</v>
      </c>
    </row>
    <row r="101" spans="1:6" x14ac:dyDescent="0.2">
      <c r="A101" s="1">
        <v>2.16143920048623</v>
      </c>
      <c r="B101" s="1" t="s">
        <v>111</v>
      </c>
      <c r="C101" s="1" t="str">
        <f>VLOOKUP(B101,'Variable Look Up'!A:C,2,FALSE)</f>
        <v>Seasonality</v>
      </c>
      <c r="D101" s="1" t="str">
        <f>VLOOKUP(B101,'Variable Look Up'!A:C,3,FALSE)</f>
        <v>Holiday/Seasonality</v>
      </c>
      <c r="E101" s="6">
        <f t="shared" si="3"/>
        <v>1.766241470324716E-3</v>
      </c>
      <c r="F101" s="1">
        <f t="shared" si="2"/>
        <v>1.5236835292050226</v>
      </c>
    </row>
    <row r="102" spans="1:6" x14ac:dyDescent="0.2">
      <c r="A102" s="1">
        <v>28.023075248784298</v>
      </c>
      <c r="B102" s="1" t="s">
        <v>112</v>
      </c>
      <c r="C102" s="1" t="str">
        <f>VLOOKUP(B102,'Variable Look Up'!A:C,2,FALSE)</f>
        <v>Seasonality</v>
      </c>
      <c r="D102" s="1" t="str">
        <f>VLOOKUP(B102,'Variable Look Up'!A:C,3,FALSE)</f>
        <v>Holiday/Seasonality</v>
      </c>
      <c r="E102" s="6">
        <f t="shared" si="3"/>
        <v>2.2899333749151304E-2</v>
      </c>
      <c r="F102" s="1">
        <f t="shared" si="2"/>
        <v>19.754568245380355</v>
      </c>
    </row>
    <row r="103" spans="1:6" x14ac:dyDescent="0.2">
      <c r="A103" s="1">
        <v>-70.750218162961602</v>
      </c>
      <c r="B103" s="1" t="s">
        <v>113</v>
      </c>
      <c r="C103" s="1" t="str">
        <f>VLOOKUP(B103,'Variable Look Up'!A:C,2,FALSE)</f>
        <v>Seasonality</v>
      </c>
      <c r="D103" s="1" t="str">
        <f>VLOOKUP(B103,'Variable Look Up'!A:C,3,FALSE)</f>
        <v>Holiday/Seasonality</v>
      </c>
      <c r="E103" s="6">
        <f t="shared" si="3"/>
        <v>-5.7814242161349123E-2</v>
      </c>
      <c r="F103" s="1">
        <f t="shared" si="2"/>
        <v>-49.874612285331047</v>
      </c>
    </row>
    <row r="104" spans="1:6" x14ac:dyDescent="0.2">
      <c r="A104" s="1">
        <v>80.932857800865307</v>
      </c>
      <c r="B104" s="1" t="s">
        <v>114</v>
      </c>
      <c r="C104" s="1" t="str">
        <f>VLOOKUP(B104,'Variable Look Up'!A:C,2,FALSE)</f>
        <v>Seasonality</v>
      </c>
      <c r="D104" s="1" t="str">
        <f>VLOOKUP(B104,'Variable Look Up'!A:C,3,FALSE)</f>
        <v>Holiday/Seasonality</v>
      </c>
      <c r="E104" s="6">
        <f t="shared" si="3"/>
        <v>6.613508708809604E-2</v>
      </c>
      <c r="F104" s="1">
        <f t="shared" si="2"/>
        <v>57.052755578287808</v>
      </c>
    </row>
    <row r="105" spans="1:6" x14ac:dyDescent="0.2">
      <c r="A105" s="1">
        <v>25.9455538389672</v>
      </c>
      <c r="B105" s="1" t="s">
        <v>115</v>
      </c>
      <c r="C105" s="1" t="str">
        <f>VLOOKUP(B105,'Variable Look Up'!A:C,2,FALSE)</f>
        <v>Seasonality</v>
      </c>
      <c r="D105" s="1" t="str">
        <f>VLOOKUP(B105,'Variable Look Up'!A:C,3,FALSE)</f>
        <v>Holiday/Seasonality</v>
      </c>
      <c r="E105" s="6">
        <f t="shared" si="3"/>
        <v>2.1201666533399423E-2</v>
      </c>
      <c r="F105" s="1">
        <f t="shared" si="2"/>
        <v>18.290041668367678</v>
      </c>
    </row>
    <row r="106" spans="1:6" x14ac:dyDescent="0.2">
      <c r="A106" s="1">
        <v>32.382414078302801</v>
      </c>
      <c r="B106" s="1" t="s">
        <v>116</v>
      </c>
      <c r="C106" s="1" t="str">
        <f>VLOOKUP(B106,'Variable Look Up'!A:C,2,FALSE)</f>
        <v>Seasonality</v>
      </c>
      <c r="D106" s="1" t="str">
        <f>VLOOKUP(B106,'Variable Look Up'!A:C,3,FALSE)</f>
        <v>Holiday/Seasonality</v>
      </c>
      <c r="E106" s="6">
        <f t="shared" si="3"/>
        <v>2.6461610690441301E-2</v>
      </c>
      <c r="F106" s="1">
        <f t="shared" si="2"/>
        <v>22.827637694322995</v>
      </c>
    </row>
    <row r="107" spans="1:6" x14ac:dyDescent="0.2">
      <c r="A107" s="1">
        <v>-35.026030104873598</v>
      </c>
      <c r="B107" s="1" t="s">
        <v>117</v>
      </c>
      <c r="C107" s="1" t="str">
        <f>VLOOKUP(B107,'Variable Look Up'!A:C,2,FALSE)</f>
        <v>Seasonality</v>
      </c>
      <c r="D107" s="1" t="str">
        <f>VLOOKUP(B107,'Variable Look Up'!A:C,3,FALSE)</f>
        <v>Holiday/Seasonality</v>
      </c>
      <c r="E107" s="6">
        <f t="shared" si="3"/>
        <v>-2.8621867734310039E-2</v>
      </c>
      <c r="F107" s="1">
        <f t="shared" si="2"/>
        <v>-24.691226638357239</v>
      </c>
    </row>
    <row r="108" spans="1:6" x14ac:dyDescent="0.2">
      <c r="A108" s="1">
        <v>74.666600731247996</v>
      </c>
      <c r="B108" s="1" t="s">
        <v>118</v>
      </c>
      <c r="C108" s="1" t="str">
        <f>VLOOKUP(B108,'Variable Look Up'!A:C,2,FALSE)</f>
        <v>Seasonality</v>
      </c>
      <c r="D108" s="1" t="str">
        <f>VLOOKUP(B108,'Variable Look Up'!A:C,3,FALSE)</f>
        <v>Holiday/Seasonality</v>
      </c>
      <c r="E108" s="6">
        <f t="shared" si="3"/>
        <v>6.1014553002481348E-2</v>
      </c>
      <c r="F108" s="1">
        <f t="shared" si="2"/>
        <v>52.635424438650581</v>
      </c>
    </row>
    <row r="109" spans="1:6" x14ac:dyDescent="0.2">
      <c r="A109" s="1">
        <v>124.12272857472701</v>
      </c>
      <c r="B109" s="1" t="s">
        <v>119</v>
      </c>
      <c r="C109" s="1" t="str">
        <f>VLOOKUP(B109,'Variable Look Up'!A:C,2,FALSE)</f>
        <v>Seasonality</v>
      </c>
      <c r="D109" s="1" t="str">
        <f>VLOOKUP(B109,'Variable Look Up'!A:C,3,FALSE)</f>
        <v>Holiday/Seasonality</v>
      </c>
      <c r="E109" s="6">
        <f t="shared" si="3"/>
        <v>0.10142811815813467</v>
      </c>
      <c r="F109" s="1">
        <f t="shared" si="2"/>
        <v>87.498994691478032</v>
      </c>
    </row>
    <row r="110" spans="1:6" x14ac:dyDescent="0.2">
      <c r="A110" s="1">
        <v>0</v>
      </c>
      <c r="B110" s="1" t="s">
        <v>120</v>
      </c>
      <c r="C110" s="1" t="str">
        <f>VLOOKUP(B110,'Variable Look Up'!A:C,2,FALSE)</f>
        <v>Seasonality</v>
      </c>
      <c r="D110" s="1" t="str">
        <f>VLOOKUP(B110,'Variable Look Up'!A:C,3,FALSE)</f>
        <v>Holiday/Seasonality</v>
      </c>
      <c r="E110" s="6">
        <f t="shared" si="3"/>
        <v>0</v>
      </c>
      <c r="F110" s="1">
        <f t="shared" si="2"/>
        <v>0</v>
      </c>
    </row>
    <row r="111" spans="1:6" x14ac:dyDescent="0.2">
      <c r="A111" s="1">
        <v>-36.699392252913</v>
      </c>
      <c r="B111" s="1" t="s">
        <v>121</v>
      </c>
      <c r="C111" s="1" t="str">
        <f>VLOOKUP(B111,'Variable Look Up'!A:C,2,FALSE)</f>
        <v>Seasonality</v>
      </c>
      <c r="D111" s="1" t="str">
        <f>VLOOKUP(B111,'Variable Look Up'!A:C,3,FALSE)</f>
        <v>Holiday/Seasonality</v>
      </c>
      <c r="E111" s="6">
        <f t="shared" si="3"/>
        <v>-2.9989272202626319E-2</v>
      </c>
      <c r="F111" s="1">
        <f t="shared" si="2"/>
        <v>-25.870845451039646</v>
      </c>
    </row>
    <row r="112" spans="1:6" x14ac:dyDescent="0.2">
      <c r="A112" s="1">
        <v>-128.783231744783</v>
      </c>
      <c r="B112" s="1" t="s">
        <v>122</v>
      </c>
      <c r="C112" s="1" t="str">
        <f>VLOOKUP(B112,'Variable Look Up'!A:C,2,FALSE)</f>
        <v>Seasonality</v>
      </c>
      <c r="D112" s="1" t="str">
        <f>VLOOKUP(B112,'Variable Look Up'!A:C,3,FALSE)</f>
        <v>Holiday/Seasonality</v>
      </c>
      <c r="E112" s="6">
        <f t="shared" si="3"/>
        <v>-0.10523649452591821</v>
      </c>
      <c r="F112" s="1">
        <f t="shared" si="2"/>
        <v>-90.78436673267386</v>
      </c>
    </row>
    <row r="113" spans="1:6" x14ac:dyDescent="0.2">
      <c r="A113" s="1">
        <v>4.56467030248771</v>
      </c>
      <c r="B113" s="1" t="s">
        <v>123</v>
      </c>
      <c r="C113" s="1" t="str">
        <f>VLOOKUP(B113,'Variable Look Up'!A:C,2,FALSE)</f>
        <v>Seasonality</v>
      </c>
      <c r="D113" s="1" t="str">
        <f>VLOOKUP(B113,'Variable Look Up'!A:C,3,FALSE)</f>
        <v>Holiday/Seasonality</v>
      </c>
      <c r="E113" s="6">
        <f t="shared" si="3"/>
        <v>3.7300655900012313E-3</v>
      </c>
      <c r="F113" s="1">
        <f t="shared" si="2"/>
        <v>3.217815682526362</v>
      </c>
    </row>
    <row r="114" spans="1:6" x14ac:dyDescent="0.2">
      <c r="A114" s="1">
        <v>-119.194347524317</v>
      </c>
      <c r="B114" s="1" t="s">
        <v>124</v>
      </c>
      <c r="C114" s="1" t="str">
        <f>VLOOKUP(B114,'Variable Look Up'!A:C,2,FALSE)</f>
        <v>Seasonality</v>
      </c>
      <c r="D114" s="1" t="str">
        <f>VLOOKUP(B114,'Variable Look Up'!A:C,3,FALSE)</f>
        <v>Holiday/Seasonality</v>
      </c>
      <c r="E114" s="6">
        <f t="shared" si="3"/>
        <v>-9.7400842724785233E-2</v>
      </c>
      <c r="F114" s="1">
        <f t="shared" si="2"/>
        <v>-84.024784993390469</v>
      </c>
    </row>
    <row r="115" spans="1:6" x14ac:dyDescent="0.2">
      <c r="A115" s="1">
        <v>-22.373246542725401</v>
      </c>
      <c r="B115" s="1" t="s">
        <v>125</v>
      </c>
      <c r="C115" s="1" t="str">
        <f>VLOOKUP(B115,'Variable Look Up'!A:C,2,FALSE)</f>
        <v>Seasonality</v>
      </c>
      <c r="D115" s="1" t="str">
        <f>VLOOKUP(B115,'Variable Look Up'!A:C,3,FALSE)</f>
        <v>Holiday/Seasonality</v>
      </c>
      <c r="E115" s="6">
        <f t="shared" si="3"/>
        <v>-1.828252021184365E-2</v>
      </c>
      <c r="F115" s="1">
        <f t="shared" si="2"/>
        <v>-15.771781711151162</v>
      </c>
    </row>
    <row r="116" spans="1:6" x14ac:dyDescent="0.2">
      <c r="A116" s="1">
        <v>-70.326412210468106</v>
      </c>
      <c r="B116" s="1" t="s">
        <v>126</v>
      </c>
      <c r="C116" s="1" t="str">
        <f>VLOOKUP(B116,'Variable Look Up'!A:C,2,FALSE)</f>
        <v>Seasonality</v>
      </c>
      <c r="D116" s="1" t="str">
        <f>VLOOKUP(B116,'Variable Look Up'!A:C,3,FALSE)</f>
        <v>Holiday/Seasonality</v>
      </c>
      <c r="E116" s="6">
        <f t="shared" si="3"/>
        <v>-5.7467924925825635E-2</v>
      </c>
      <c r="F116" s="1">
        <f t="shared" si="2"/>
        <v>-49.575854795761998</v>
      </c>
    </row>
    <row r="117" spans="1:6" x14ac:dyDescent="0.2">
      <c r="A117" s="1">
        <v>-13.3892307186506</v>
      </c>
      <c r="B117" s="1" t="s">
        <v>127</v>
      </c>
      <c r="C117" s="1" t="str">
        <f>VLOOKUP(B117,'Variable Look Up'!A:C,2,FALSE)</f>
        <v>Seasonality</v>
      </c>
      <c r="D117" s="1" t="str">
        <f>VLOOKUP(B117,'Variable Look Up'!A:C,3,FALSE)</f>
        <v>Holiday/Seasonality</v>
      </c>
      <c r="E117" s="6">
        <f t="shared" si="3"/>
        <v>-1.0941142617246128E-2</v>
      </c>
      <c r="F117" s="1">
        <f t="shared" si="2"/>
        <v>-9.4385955016197176</v>
      </c>
    </row>
    <row r="118" spans="1:6" x14ac:dyDescent="0.2">
      <c r="A118" s="1">
        <v>37.674598087879502</v>
      </c>
      <c r="B118" s="1" t="s">
        <v>128</v>
      </c>
      <c r="C118" s="1" t="str">
        <f>VLOOKUP(B118,'Variable Look Up'!A:C,2,FALSE)</f>
        <v>Seasonality</v>
      </c>
      <c r="D118" s="1" t="str">
        <f>VLOOKUP(B118,'Variable Look Up'!A:C,3,FALSE)</f>
        <v>Holiday/Seasonality</v>
      </c>
      <c r="E118" s="6">
        <f t="shared" si="3"/>
        <v>3.0786171318471448E-2</v>
      </c>
      <c r="F118" s="1">
        <f t="shared" si="2"/>
        <v>26.558306411305765</v>
      </c>
    </row>
    <row r="119" spans="1:6" x14ac:dyDescent="0.2">
      <c r="A119" s="1">
        <v>30.098781005190698</v>
      </c>
      <c r="B119" s="1" t="s">
        <v>129</v>
      </c>
      <c r="C119" s="1" t="str">
        <f>VLOOKUP(B119,'Variable Look Up'!A:C,2,FALSE)</f>
        <v>Seasonality</v>
      </c>
      <c r="D119" s="1" t="str">
        <f>VLOOKUP(B119,'Variable Look Up'!A:C,3,FALSE)</f>
        <v>Holiday/Seasonality</v>
      </c>
      <c r="E119" s="6">
        <f t="shared" si="3"/>
        <v>2.4595517285718967E-2</v>
      </c>
      <c r="F119" s="1">
        <f t="shared" si="2"/>
        <v>21.217814896871179</v>
      </c>
    </row>
    <row r="120" spans="1:6" x14ac:dyDescent="0.2">
      <c r="A120" s="1">
        <v>-401.64572751738098</v>
      </c>
      <c r="B120" s="1" t="s">
        <v>130</v>
      </c>
      <c r="C120" s="1" t="str">
        <f>VLOOKUP(B120,'Variable Look Up'!A:C,2,FALSE)</f>
        <v>Seasonality</v>
      </c>
      <c r="D120" s="1" t="str">
        <f>VLOOKUP(B120,'Variable Look Up'!A:C,3,FALSE)</f>
        <v>Holiday/Seasonality</v>
      </c>
      <c r="E120" s="6">
        <f t="shared" si="3"/>
        <v>-0.3282087879966063</v>
      </c>
      <c r="F120" s="1">
        <f t="shared" si="2"/>
        <v>-283.13587514103233</v>
      </c>
    </row>
    <row r="121" spans="1:6" x14ac:dyDescent="0.2">
      <c r="A121" s="1">
        <v>-371.27497046629401</v>
      </c>
      <c r="B121" s="1" t="s">
        <v>131</v>
      </c>
      <c r="C121" s="1" t="str">
        <f>VLOOKUP(B121,'Variable Look Up'!A:C,2,FALSE)</f>
        <v>Seasonality</v>
      </c>
      <c r="D121" s="1" t="str">
        <f>VLOOKUP(B121,'Variable Look Up'!A:C,3,FALSE)</f>
        <v>Holiday/Seasonality</v>
      </c>
      <c r="E121" s="6">
        <f t="shared" si="3"/>
        <v>-0.30339102278872099</v>
      </c>
      <c r="F121" s="1">
        <f t="shared" si="2"/>
        <v>-261.72633362914593</v>
      </c>
    </row>
    <row r="122" spans="1:6" x14ac:dyDescent="0.2">
      <c r="A122" s="1">
        <v>68.855749670189297</v>
      </c>
      <c r="B122" s="1" t="s">
        <v>132</v>
      </c>
      <c r="C122" s="1" t="str">
        <f>VLOOKUP(B122,'Variable Look Up'!A:C,2,FALSE)</f>
        <v>Seasonality</v>
      </c>
      <c r="D122" s="1" t="str">
        <f>VLOOKUP(B122,'Variable Look Up'!A:C,3,FALSE)</f>
        <v>Holiday/Seasonality</v>
      </c>
      <c r="E122" s="6">
        <f t="shared" si="3"/>
        <v>5.6266158451474105E-2</v>
      </c>
      <c r="F122" s="1">
        <f t="shared" si="2"/>
        <v>48.539126911333163</v>
      </c>
    </row>
    <row r="123" spans="1:6" x14ac:dyDescent="0.2">
      <c r="A123" s="1">
        <v>-42.604035000534999</v>
      </c>
      <c r="B123" s="1" t="s">
        <v>133</v>
      </c>
      <c r="C123" s="1" t="str">
        <f>VLOOKUP(B123,'Variable Look Up'!A:C,2,FALSE)</f>
        <v>Seasonality</v>
      </c>
      <c r="D123" s="1" t="str">
        <f>VLOOKUP(B123,'Variable Look Up'!A:C,3,FALSE)</f>
        <v>Holiday/Seasonality</v>
      </c>
      <c r="E123" s="6">
        <f t="shared" si="3"/>
        <v>-3.4814309560122179E-2</v>
      </c>
      <c r="F123" s="1">
        <f t="shared" si="2"/>
        <v>-30.033260428230598</v>
      </c>
    </row>
    <row r="124" spans="1:6" x14ac:dyDescent="0.2">
      <c r="A124" s="1">
        <v>0</v>
      </c>
      <c r="B124" s="1" t="s">
        <v>134</v>
      </c>
      <c r="C124" s="1" t="str">
        <f>VLOOKUP(B124,'Variable Look Up'!A:C,2,FALSE)</f>
        <v>Seasonality</v>
      </c>
      <c r="D124" s="1" t="str">
        <f>VLOOKUP(B124,'Variable Look Up'!A:C,3,FALSE)</f>
        <v>Holiday/Seasonality</v>
      </c>
      <c r="E124" s="6">
        <f t="shared" si="3"/>
        <v>0</v>
      </c>
      <c r="F124" s="1">
        <f t="shared" si="2"/>
        <v>0</v>
      </c>
    </row>
    <row r="125" spans="1:6" x14ac:dyDescent="0.2">
      <c r="A125" s="1">
        <v>42.8557267007265</v>
      </c>
      <c r="B125" s="1" t="s">
        <v>135</v>
      </c>
      <c r="C125" s="1" t="str">
        <f>VLOOKUP(B125,'Variable Look Up'!A:C,2,FALSE)</f>
        <v>Seasonality</v>
      </c>
      <c r="D125" s="1" t="str">
        <f>VLOOKUP(B125,'Variable Look Up'!A:C,3,FALSE)</f>
        <v>Holiday/Seasonality</v>
      </c>
      <c r="E125" s="6">
        <f t="shared" si="3"/>
        <v>3.5019981928104939E-2</v>
      </c>
      <c r="F125" s="1">
        <f t="shared" si="2"/>
        <v>30.210687809918287</v>
      </c>
    </row>
    <row r="126" spans="1:6" x14ac:dyDescent="0.2">
      <c r="A126" s="1">
        <v>306.63570711185997</v>
      </c>
      <c r="B126" s="1" t="s">
        <v>136</v>
      </c>
      <c r="C126" s="1" t="str">
        <f>VLOOKUP(B126,'Variable Look Up'!A:C,2,FALSE)</f>
        <v>Seasonality</v>
      </c>
      <c r="D126" s="1" t="str">
        <f>VLOOKUP(B126,'Variable Look Up'!A:C,3,FALSE)</f>
        <v>Holiday/Seasonality</v>
      </c>
      <c r="E126" s="6">
        <f t="shared" si="3"/>
        <v>0.25057040793073232</v>
      </c>
      <c r="F126" s="1">
        <f t="shared" ref="F126:F146" si="4">E126*$K$1</f>
        <v>216.15957380960484</v>
      </c>
    </row>
    <row r="127" spans="1:6" x14ac:dyDescent="0.2">
      <c r="A127" s="1">
        <v>144.021216914718</v>
      </c>
      <c r="B127" s="1" t="s">
        <v>137</v>
      </c>
      <c r="C127" s="1" t="str">
        <f>VLOOKUP(B127,'Variable Look Up'!A:C,2,FALSE)</f>
        <v>Seasonality</v>
      </c>
      <c r="D127" s="1" t="str">
        <f>VLOOKUP(B127,'Variable Look Up'!A:C,3,FALSE)</f>
        <v>Holiday/Seasonality</v>
      </c>
      <c r="E127" s="6">
        <f t="shared" si="3"/>
        <v>0.1176883651708467</v>
      </c>
      <c r="F127" s="1">
        <f t="shared" si="4"/>
        <v>101.52622198193431</v>
      </c>
    </row>
    <row r="128" spans="1:6" x14ac:dyDescent="0.2">
      <c r="A128" s="1">
        <v>246.27763882569499</v>
      </c>
      <c r="B128" s="1" t="s">
        <v>138</v>
      </c>
      <c r="C128" s="1" t="str">
        <f>VLOOKUP(B128,'Variable Look Up'!A:C,2,FALSE)</f>
        <v>Seasonality</v>
      </c>
      <c r="D128" s="1" t="str">
        <f>VLOOKUP(B128,'Variable Look Up'!A:C,3,FALSE)</f>
        <v>Holiday/Seasonality</v>
      </c>
      <c r="E128" s="6">
        <f t="shared" si="3"/>
        <v>0.20124821406484253</v>
      </c>
      <c r="F128" s="1">
        <f t="shared" si="4"/>
        <v>173.6107968273177</v>
      </c>
    </row>
    <row r="129" spans="1:6" x14ac:dyDescent="0.2">
      <c r="A129" s="1">
        <v>490.18262166628801</v>
      </c>
      <c r="B129" s="1" t="s">
        <v>139</v>
      </c>
      <c r="C129" s="1" t="str">
        <f>VLOOKUP(B129,'Variable Look Up'!A:C,2,FALSE)</f>
        <v>Seasonality</v>
      </c>
      <c r="D129" s="1" t="str">
        <f>VLOOKUP(B129,'Variable Look Up'!A:C,3,FALSE)</f>
        <v>Holiday/Seasonality</v>
      </c>
      <c r="E129" s="6">
        <f t="shared" si="3"/>
        <v>0.4005575887698925</v>
      </c>
      <c r="F129" s="1">
        <f t="shared" si="4"/>
        <v>345.54901510412316</v>
      </c>
    </row>
    <row r="130" spans="1:6" x14ac:dyDescent="0.2">
      <c r="A130" s="1">
        <v>747.42366506216399</v>
      </c>
      <c r="B130" s="1" t="s">
        <v>140</v>
      </c>
      <c r="C130" s="1" t="str">
        <f>VLOOKUP(B130,'Variable Look Up'!A:C,2,FALSE)</f>
        <v>Seasonality</v>
      </c>
      <c r="D130" s="1" t="str">
        <f>VLOOKUP(B130,'Variable Look Up'!A:C,3,FALSE)</f>
        <v>Holiday/Seasonality</v>
      </c>
      <c r="E130" s="6">
        <f t="shared" si="3"/>
        <v>0.61076465756608489</v>
      </c>
      <c r="F130" s="1">
        <f t="shared" si="4"/>
        <v>526.88834714253437</v>
      </c>
    </row>
    <row r="131" spans="1:6" x14ac:dyDescent="0.2">
      <c r="A131" s="1">
        <v>97.596335139994196</v>
      </c>
      <c r="B131" s="1" t="s">
        <v>141</v>
      </c>
      <c r="C131" s="1" t="str">
        <f>VLOOKUP(B131,'Variable Look Up'!A:C,2,FALSE)</f>
        <v>Seasonality</v>
      </c>
      <c r="D131" s="1" t="str">
        <f>VLOOKUP(B131,'Variable Look Up'!A:C,3,FALSE)</f>
        <v>Holiday/Seasonality</v>
      </c>
      <c r="E131" s="6">
        <f t="shared" ref="E131" si="5">A131/SUM($A$2:$A$131)</f>
        <v>7.9751812790842966E-2</v>
      </c>
      <c r="F131" s="1">
        <f t="shared" si="4"/>
        <v>68.799496340276491</v>
      </c>
    </row>
  </sheetData>
  <autoFilter ref="A1:F152"/>
  <sortState ref="A2:B185">
    <sortCondition ref="A2:A185"/>
  </sortState>
  <conditionalFormatting sqref="B4:B1048576 B1:B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5"/>
  <sheetViews>
    <sheetView topLeftCell="A242" workbookViewId="0">
      <selection activeCell="C285" sqref="C272:C285"/>
    </sheetView>
  </sheetViews>
  <sheetFormatPr defaultRowHeight="12.75" x14ac:dyDescent="0.2"/>
  <cols>
    <col min="1" max="1" width="88.140625" style="1" bestFit="1" customWidth="1"/>
    <col min="2" max="2" width="16.42578125" style="1" bestFit="1" customWidth="1"/>
    <col min="3" max="3" width="19.85546875" style="1" bestFit="1" customWidth="1"/>
    <col min="4" max="16384" width="9.140625" style="1"/>
  </cols>
  <sheetData>
    <row r="1" spans="1:3" x14ac:dyDescent="0.2">
      <c r="A1" s="1" t="s">
        <v>0</v>
      </c>
      <c r="B1" s="1" t="s">
        <v>146</v>
      </c>
      <c r="C1" s="1" t="s">
        <v>147</v>
      </c>
    </row>
    <row r="2" spans="1:3" x14ac:dyDescent="0.2">
      <c r="A2" s="1" t="s">
        <v>1</v>
      </c>
      <c r="B2" s="1" t="s">
        <v>148</v>
      </c>
      <c r="C2" s="1" t="s">
        <v>148</v>
      </c>
    </row>
    <row r="3" spans="1:3" x14ac:dyDescent="0.2">
      <c r="A3" s="1" t="s">
        <v>2</v>
      </c>
      <c r="B3" s="1" t="s">
        <v>149</v>
      </c>
      <c r="C3" s="1" t="s">
        <v>149</v>
      </c>
    </row>
    <row r="4" spans="1:3" x14ac:dyDescent="0.2">
      <c r="A4" s="1" t="s">
        <v>3</v>
      </c>
      <c r="B4" s="1" t="s">
        <v>150</v>
      </c>
      <c r="C4" s="1" t="s">
        <v>149</v>
      </c>
    </row>
    <row r="5" spans="1:3" x14ac:dyDescent="0.2">
      <c r="A5" s="1" t="s">
        <v>4</v>
      </c>
      <c r="B5" s="1" t="s">
        <v>151</v>
      </c>
      <c r="C5" s="1" t="s">
        <v>149</v>
      </c>
    </row>
    <row r="6" spans="1:3" x14ac:dyDescent="0.2">
      <c r="A6" s="1" t="s">
        <v>152</v>
      </c>
      <c r="B6" s="1" t="s">
        <v>153</v>
      </c>
      <c r="C6" s="1" t="s">
        <v>153</v>
      </c>
    </row>
    <row r="7" spans="1:3" x14ac:dyDescent="0.2">
      <c r="A7" s="1" t="s">
        <v>154</v>
      </c>
      <c r="B7" s="1" t="s">
        <v>153</v>
      </c>
      <c r="C7" s="1" t="s">
        <v>153</v>
      </c>
    </row>
    <row r="8" spans="1:3" x14ac:dyDescent="0.2">
      <c r="A8" s="1" t="s">
        <v>155</v>
      </c>
      <c r="B8" s="1" t="s">
        <v>153</v>
      </c>
      <c r="C8" s="1" t="s">
        <v>153</v>
      </c>
    </row>
    <row r="9" spans="1:3" x14ac:dyDescent="0.2">
      <c r="A9" s="1" t="s">
        <v>156</v>
      </c>
      <c r="B9" s="1" t="s">
        <v>153</v>
      </c>
      <c r="C9" s="1" t="s">
        <v>153</v>
      </c>
    </row>
    <row r="10" spans="1:3" x14ac:dyDescent="0.2">
      <c r="A10" s="1" t="s">
        <v>157</v>
      </c>
      <c r="B10" s="1" t="s">
        <v>153</v>
      </c>
      <c r="C10" s="1" t="s">
        <v>153</v>
      </c>
    </row>
    <row r="11" spans="1:3" x14ac:dyDescent="0.2">
      <c r="A11" s="1" t="s">
        <v>158</v>
      </c>
      <c r="B11" s="1" t="s">
        <v>153</v>
      </c>
      <c r="C11" s="1" t="s">
        <v>153</v>
      </c>
    </row>
    <row r="12" spans="1:3" x14ac:dyDescent="0.2">
      <c r="A12" s="1" t="s">
        <v>159</v>
      </c>
      <c r="B12" s="1" t="s">
        <v>153</v>
      </c>
      <c r="C12" s="1" t="s">
        <v>153</v>
      </c>
    </row>
    <row r="13" spans="1:3" x14ac:dyDescent="0.2">
      <c r="A13" s="1" t="s">
        <v>160</v>
      </c>
      <c r="B13" s="1" t="s">
        <v>161</v>
      </c>
      <c r="C13" s="1" t="s">
        <v>162</v>
      </c>
    </row>
    <row r="14" spans="1:3" x14ac:dyDescent="0.2">
      <c r="A14" s="1" t="s">
        <v>163</v>
      </c>
      <c r="B14" s="1" t="s">
        <v>161</v>
      </c>
      <c r="C14" s="1" t="s">
        <v>162</v>
      </c>
    </row>
    <row r="15" spans="1:3" x14ac:dyDescent="0.2">
      <c r="A15" s="1" t="s">
        <v>164</v>
      </c>
      <c r="B15" s="1" t="s">
        <v>161</v>
      </c>
      <c r="C15" s="1" t="s">
        <v>162</v>
      </c>
    </row>
    <row r="16" spans="1:3" x14ac:dyDescent="0.2">
      <c r="A16" s="1" t="s">
        <v>165</v>
      </c>
      <c r="B16" s="1" t="s">
        <v>161</v>
      </c>
      <c r="C16" s="1" t="s">
        <v>162</v>
      </c>
    </row>
    <row r="17" spans="1:3" x14ac:dyDescent="0.2">
      <c r="A17" s="1" t="s">
        <v>166</v>
      </c>
      <c r="B17" s="1" t="s">
        <v>161</v>
      </c>
      <c r="C17" s="1" t="s">
        <v>162</v>
      </c>
    </row>
    <row r="18" spans="1:3" x14ac:dyDescent="0.2">
      <c r="A18" s="1" t="s">
        <v>10</v>
      </c>
      <c r="B18" s="1" t="s">
        <v>161</v>
      </c>
      <c r="C18" s="1" t="s">
        <v>162</v>
      </c>
    </row>
    <row r="19" spans="1:3" x14ac:dyDescent="0.2">
      <c r="A19" s="1" t="s">
        <v>12</v>
      </c>
      <c r="B19" s="1" t="s">
        <v>161</v>
      </c>
      <c r="C19" s="1" t="s">
        <v>162</v>
      </c>
    </row>
    <row r="20" spans="1:3" x14ac:dyDescent="0.2">
      <c r="A20" s="1" t="s">
        <v>167</v>
      </c>
      <c r="B20" s="1" t="s">
        <v>161</v>
      </c>
      <c r="C20" s="1" t="s">
        <v>162</v>
      </c>
    </row>
    <row r="21" spans="1:3" x14ac:dyDescent="0.2">
      <c r="A21" s="1" t="s">
        <v>13</v>
      </c>
      <c r="B21" s="1" t="s">
        <v>161</v>
      </c>
      <c r="C21" s="1" t="s">
        <v>162</v>
      </c>
    </row>
    <row r="22" spans="1:3" x14ac:dyDescent="0.2">
      <c r="A22" s="1" t="s">
        <v>168</v>
      </c>
      <c r="B22" s="1" t="s">
        <v>161</v>
      </c>
      <c r="C22" s="1" t="s">
        <v>162</v>
      </c>
    </row>
    <row r="23" spans="1:3" x14ac:dyDescent="0.2">
      <c r="A23" s="1" t="s">
        <v>169</v>
      </c>
      <c r="B23" s="1" t="s">
        <v>161</v>
      </c>
      <c r="C23" s="1" t="s">
        <v>162</v>
      </c>
    </row>
    <row r="24" spans="1:3" x14ac:dyDescent="0.2">
      <c r="A24" s="1" t="s">
        <v>14</v>
      </c>
      <c r="B24" s="1" t="s">
        <v>161</v>
      </c>
      <c r="C24" s="1" t="s">
        <v>162</v>
      </c>
    </row>
    <row r="25" spans="1:3" x14ac:dyDescent="0.2">
      <c r="A25" s="1" t="s">
        <v>170</v>
      </c>
      <c r="B25" s="1" t="s">
        <v>161</v>
      </c>
      <c r="C25" s="1" t="s">
        <v>162</v>
      </c>
    </row>
    <row r="26" spans="1:3" x14ac:dyDescent="0.2">
      <c r="A26" s="1" t="s">
        <v>171</v>
      </c>
      <c r="B26" s="1" t="s">
        <v>161</v>
      </c>
      <c r="C26" s="1" t="s">
        <v>162</v>
      </c>
    </row>
    <row r="27" spans="1:3" x14ac:dyDescent="0.2">
      <c r="A27" s="1" t="s">
        <v>172</v>
      </c>
      <c r="B27" s="1" t="s">
        <v>161</v>
      </c>
      <c r="C27" s="1" t="s">
        <v>162</v>
      </c>
    </row>
    <row r="28" spans="1:3" x14ac:dyDescent="0.2">
      <c r="A28" s="1" t="s">
        <v>173</v>
      </c>
      <c r="B28" s="1" t="s">
        <v>161</v>
      </c>
      <c r="C28" s="1" t="s">
        <v>162</v>
      </c>
    </row>
    <row r="29" spans="1:3" x14ac:dyDescent="0.2">
      <c r="A29" s="1" t="s">
        <v>174</v>
      </c>
      <c r="B29" s="1" t="s">
        <v>161</v>
      </c>
      <c r="C29" s="1" t="s">
        <v>162</v>
      </c>
    </row>
    <row r="30" spans="1:3" x14ac:dyDescent="0.2">
      <c r="A30" s="1" t="s">
        <v>175</v>
      </c>
      <c r="B30" s="1" t="s">
        <v>161</v>
      </c>
      <c r="C30" s="1" t="s">
        <v>162</v>
      </c>
    </row>
    <row r="31" spans="1:3" x14ac:dyDescent="0.2">
      <c r="A31" s="1" t="s">
        <v>176</v>
      </c>
      <c r="B31" s="1" t="s">
        <v>161</v>
      </c>
      <c r="C31" s="1" t="s">
        <v>162</v>
      </c>
    </row>
    <row r="32" spans="1:3" x14ac:dyDescent="0.2">
      <c r="A32" s="1" t="s">
        <v>19</v>
      </c>
      <c r="B32" s="1" t="s">
        <v>161</v>
      </c>
      <c r="C32" s="1" t="s">
        <v>162</v>
      </c>
    </row>
    <row r="33" spans="1:3" x14ac:dyDescent="0.2">
      <c r="A33" s="1" t="s">
        <v>177</v>
      </c>
      <c r="B33" s="1" t="s">
        <v>161</v>
      </c>
      <c r="C33" s="1" t="s">
        <v>162</v>
      </c>
    </row>
    <row r="34" spans="1:3" x14ac:dyDescent="0.2">
      <c r="A34" s="1" t="s">
        <v>178</v>
      </c>
      <c r="B34" s="1" t="s">
        <v>161</v>
      </c>
      <c r="C34" s="1" t="s">
        <v>162</v>
      </c>
    </row>
    <row r="35" spans="1:3" x14ac:dyDescent="0.2">
      <c r="A35" s="1" t="s">
        <v>179</v>
      </c>
      <c r="B35" s="1" t="s">
        <v>161</v>
      </c>
      <c r="C35" s="1" t="s">
        <v>162</v>
      </c>
    </row>
    <row r="36" spans="1:3" x14ac:dyDescent="0.2">
      <c r="A36" s="1" t="s">
        <v>180</v>
      </c>
      <c r="B36" s="1" t="s">
        <v>161</v>
      </c>
      <c r="C36" s="1" t="s">
        <v>162</v>
      </c>
    </row>
    <row r="37" spans="1:3" x14ac:dyDescent="0.2">
      <c r="A37" s="1" t="s">
        <v>181</v>
      </c>
      <c r="B37" s="1" t="s">
        <v>161</v>
      </c>
      <c r="C37" s="1" t="s">
        <v>162</v>
      </c>
    </row>
    <row r="38" spans="1:3" x14ac:dyDescent="0.2">
      <c r="A38" s="1" t="s">
        <v>182</v>
      </c>
      <c r="B38" s="1" t="s">
        <v>161</v>
      </c>
      <c r="C38" s="1" t="s">
        <v>162</v>
      </c>
    </row>
    <row r="39" spans="1:3" x14ac:dyDescent="0.2">
      <c r="A39" s="1" t="s">
        <v>183</v>
      </c>
      <c r="B39" s="1" t="s">
        <v>161</v>
      </c>
      <c r="C39" s="1" t="s">
        <v>162</v>
      </c>
    </row>
    <row r="40" spans="1:3" x14ac:dyDescent="0.2">
      <c r="A40" s="1" t="s">
        <v>184</v>
      </c>
      <c r="B40" s="1" t="s">
        <v>161</v>
      </c>
      <c r="C40" s="1" t="s">
        <v>162</v>
      </c>
    </row>
    <row r="41" spans="1:3" x14ac:dyDescent="0.2">
      <c r="A41" s="1" t="s">
        <v>185</v>
      </c>
      <c r="B41" s="1" t="s">
        <v>161</v>
      </c>
      <c r="C41" s="1" t="s">
        <v>162</v>
      </c>
    </row>
    <row r="42" spans="1:3" x14ac:dyDescent="0.2">
      <c r="A42" s="1" t="s">
        <v>186</v>
      </c>
      <c r="B42" s="1" t="s">
        <v>161</v>
      </c>
      <c r="C42" s="1" t="s">
        <v>162</v>
      </c>
    </row>
    <row r="43" spans="1:3" x14ac:dyDescent="0.2">
      <c r="A43" s="1" t="s">
        <v>187</v>
      </c>
      <c r="B43" s="1" t="s">
        <v>161</v>
      </c>
      <c r="C43" s="1" t="s">
        <v>162</v>
      </c>
    </row>
    <row r="44" spans="1:3" x14ac:dyDescent="0.2">
      <c r="A44" s="1" t="s">
        <v>23</v>
      </c>
      <c r="B44" s="1" t="s">
        <v>161</v>
      </c>
      <c r="C44" s="1" t="s">
        <v>162</v>
      </c>
    </row>
    <row r="45" spans="1:3" x14ac:dyDescent="0.2">
      <c r="A45" s="1" t="s">
        <v>25</v>
      </c>
      <c r="B45" s="1" t="s">
        <v>161</v>
      </c>
      <c r="C45" s="1" t="s">
        <v>162</v>
      </c>
    </row>
    <row r="46" spans="1:3" x14ac:dyDescent="0.2">
      <c r="A46" s="1" t="s">
        <v>188</v>
      </c>
      <c r="B46" s="1" t="s">
        <v>161</v>
      </c>
      <c r="C46" s="1" t="s">
        <v>162</v>
      </c>
    </row>
    <row r="47" spans="1:3" x14ac:dyDescent="0.2">
      <c r="A47" s="1" t="s">
        <v>189</v>
      </c>
      <c r="B47" s="1" t="s">
        <v>161</v>
      </c>
      <c r="C47" s="1" t="s">
        <v>162</v>
      </c>
    </row>
    <row r="48" spans="1:3" x14ac:dyDescent="0.2">
      <c r="A48" s="1" t="s">
        <v>190</v>
      </c>
      <c r="B48" s="1" t="s">
        <v>161</v>
      </c>
      <c r="C48" s="1" t="s">
        <v>162</v>
      </c>
    </row>
    <row r="49" spans="1:3" x14ac:dyDescent="0.2">
      <c r="A49" s="1" t="s">
        <v>191</v>
      </c>
      <c r="B49" s="1" t="s">
        <v>161</v>
      </c>
      <c r="C49" s="1" t="s">
        <v>162</v>
      </c>
    </row>
    <row r="50" spans="1:3" x14ac:dyDescent="0.2">
      <c r="A50" s="1" t="s">
        <v>192</v>
      </c>
      <c r="B50" s="1" t="s">
        <v>161</v>
      </c>
      <c r="C50" s="1" t="s">
        <v>162</v>
      </c>
    </row>
    <row r="51" spans="1:3" x14ac:dyDescent="0.2">
      <c r="A51" s="1" t="s">
        <v>193</v>
      </c>
      <c r="B51" s="1" t="s">
        <v>161</v>
      </c>
      <c r="C51" s="1" t="s">
        <v>162</v>
      </c>
    </row>
    <row r="52" spans="1:3" x14ac:dyDescent="0.2">
      <c r="A52" s="1" t="s">
        <v>194</v>
      </c>
      <c r="B52" s="1" t="s">
        <v>161</v>
      </c>
      <c r="C52" s="1" t="s">
        <v>162</v>
      </c>
    </row>
    <row r="53" spans="1:3" x14ac:dyDescent="0.2">
      <c r="A53" s="1" t="s">
        <v>41</v>
      </c>
      <c r="B53" s="1" t="s">
        <v>161</v>
      </c>
      <c r="C53" s="1" t="s">
        <v>162</v>
      </c>
    </row>
    <row r="54" spans="1:3" x14ac:dyDescent="0.2">
      <c r="A54" s="1" t="s">
        <v>195</v>
      </c>
      <c r="B54" s="1" t="s">
        <v>161</v>
      </c>
      <c r="C54" s="1" t="s">
        <v>162</v>
      </c>
    </row>
    <row r="55" spans="1:3" x14ac:dyDescent="0.2">
      <c r="A55" s="1" t="s">
        <v>196</v>
      </c>
      <c r="B55" s="1" t="s">
        <v>161</v>
      </c>
      <c r="C55" s="1" t="s">
        <v>162</v>
      </c>
    </row>
    <row r="56" spans="1:3" x14ac:dyDescent="0.2">
      <c r="A56" s="1" t="s">
        <v>197</v>
      </c>
      <c r="B56" s="1" t="s">
        <v>161</v>
      </c>
      <c r="C56" s="1" t="s">
        <v>162</v>
      </c>
    </row>
    <row r="57" spans="1:3" x14ac:dyDescent="0.2">
      <c r="A57" s="1" t="s">
        <v>45</v>
      </c>
      <c r="B57" s="1" t="s">
        <v>161</v>
      </c>
      <c r="C57" s="1" t="s">
        <v>162</v>
      </c>
    </row>
    <row r="58" spans="1:3" x14ac:dyDescent="0.2">
      <c r="A58" s="1" t="s">
        <v>46</v>
      </c>
      <c r="B58" s="1" t="s">
        <v>161</v>
      </c>
      <c r="C58" s="1" t="s">
        <v>162</v>
      </c>
    </row>
    <row r="59" spans="1:3" x14ac:dyDescent="0.2">
      <c r="A59" s="1" t="s">
        <v>47</v>
      </c>
      <c r="B59" s="1" t="s">
        <v>161</v>
      </c>
      <c r="C59" s="1" t="s">
        <v>162</v>
      </c>
    </row>
    <row r="60" spans="1:3" x14ac:dyDescent="0.2">
      <c r="A60" s="1" t="s">
        <v>48</v>
      </c>
      <c r="B60" s="1" t="s">
        <v>161</v>
      </c>
      <c r="C60" s="1" t="s">
        <v>162</v>
      </c>
    </row>
    <row r="61" spans="1:3" x14ac:dyDescent="0.2">
      <c r="A61" s="1" t="s">
        <v>49</v>
      </c>
      <c r="B61" s="1" t="s">
        <v>161</v>
      </c>
      <c r="C61" s="1" t="s">
        <v>162</v>
      </c>
    </row>
    <row r="62" spans="1:3" x14ac:dyDescent="0.2">
      <c r="A62" s="1" t="s">
        <v>198</v>
      </c>
      <c r="B62" s="1" t="s">
        <v>161</v>
      </c>
      <c r="C62" s="1" t="s">
        <v>162</v>
      </c>
    </row>
    <row r="63" spans="1:3" x14ac:dyDescent="0.2">
      <c r="A63" s="1" t="s">
        <v>199</v>
      </c>
      <c r="B63" s="1" t="s">
        <v>161</v>
      </c>
      <c r="C63" s="1" t="s">
        <v>162</v>
      </c>
    </row>
    <row r="64" spans="1:3" x14ac:dyDescent="0.2">
      <c r="A64" s="1" t="s">
        <v>200</v>
      </c>
      <c r="B64" s="1" t="s">
        <v>161</v>
      </c>
      <c r="C64" s="1" t="s">
        <v>162</v>
      </c>
    </row>
    <row r="65" spans="1:3" x14ac:dyDescent="0.2">
      <c r="A65" s="1" t="s">
        <v>50</v>
      </c>
      <c r="B65" s="1" t="s">
        <v>161</v>
      </c>
      <c r="C65" s="1" t="s">
        <v>162</v>
      </c>
    </row>
    <row r="66" spans="1:3" x14ac:dyDescent="0.2">
      <c r="A66" s="1" t="s">
        <v>201</v>
      </c>
      <c r="B66" s="1" t="s">
        <v>161</v>
      </c>
      <c r="C66" s="1" t="s">
        <v>162</v>
      </c>
    </row>
    <row r="67" spans="1:3" x14ac:dyDescent="0.2">
      <c r="A67" s="1" t="s">
        <v>202</v>
      </c>
      <c r="B67" s="1" t="s">
        <v>161</v>
      </c>
      <c r="C67" s="1" t="s">
        <v>162</v>
      </c>
    </row>
    <row r="68" spans="1:3" x14ac:dyDescent="0.2">
      <c r="A68" s="1" t="s">
        <v>51</v>
      </c>
      <c r="B68" s="1" t="s">
        <v>161</v>
      </c>
      <c r="C68" s="1" t="s">
        <v>162</v>
      </c>
    </row>
    <row r="69" spans="1:3" x14ac:dyDescent="0.2">
      <c r="A69" s="1" t="s">
        <v>53</v>
      </c>
      <c r="B69" s="1" t="s">
        <v>161</v>
      </c>
      <c r="C69" s="1" t="s">
        <v>162</v>
      </c>
    </row>
    <row r="70" spans="1:3" x14ac:dyDescent="0.2">
      <c r="A70" s="1" t="s">
        <v>203</v>
      </c>
      <c r="B70" s="1" t="s">
        <v>204</v>
      </c>
      <c r="C70" s="1" t="s">
        <v>204</v>
      </c>
    </row>
    <row r="71" spans="1:3" x14ac:dyDescent="0.2">
      <c r="A71" s="1" t="s">
        <v>205</v>
      </c>
      <c r="B71" s="1" t="s">
        <v>206</v>
      </c>
      <c r="C71" s="1" t="s">
        <v>204</v>
      </c>
    </row>
    <row r="72" spans="1:3" x14ac:dyDescent="0.2">
      <c r="A72" s="1" t="s">
        <v>207</v>
      </c>
      <c r="B72" s="1" t="s">
        <v>204</v>
      </c>
      <c r="C72" s="1" t="s">
        <v>204</v>
      </c>
    </row>
    <row r="73" spans="1:3" x14ac:dyDescent="0.2">
      <c r="A73" s="1" t="s">
        <v>208</v>
      </c>
      <c r="B73" s="1" t="s">
        <v>209</v>
      </c>
      <c r="C73" s="1" t="s">
        <v>209</v>
      </c>
    </row>
    <row r="74" spans="1:3" x14ac:dyDescent="0.2">
      <c r="A74" s="1" t="s">
        <v>55</v>
      </c>
      <c r="B74" s="1" t="s">
        <v>204</v>
      </c>
      <c r="C74" s="1" t="s">
        <v>204</v>
      </c>
    </row>
    <row r="75" spans="1:3" x14ac:dyDescent="0.2">
      <c r="A75" s="1" t="s">
        <v>210</v>
      </c>
      <c r="B75" s="1" t="s">
        <v>204</v>
      </c>
      <c r="C75" s="1" t="s">
        <v>204</v>
      </c>
    </row>
    <row r="76" spans="1:3" x14ac:dyDescent="0.2">
      <c r="A76" s="1" t="s">
        <v>211</v>
      </c>
      <c r="B76" s="1" t="s">
        <v>204</v>
      </c>
      <c r="C76" s="1" t="s">
        <v>204</v>
      </c>
    </row>
    <row r="77" spans="1:3" x14ac:dyDescent="0.2">
      <c r="A77" s="1" t="s">
        <v>56</v>
      </c>
      <c r="B77" s="1" t="s">
        <v>204</v>
      </c>
      <c r="C77" s="1" t="s">
        <v>204</v>
      </c>
    </row>
    <row r="78" spans="1:3" x14ac:dyDescent="0.2">
      <c r="A78" s="1" t="s">
        <v>65</v>
      </c>
      <c r="B78" s="1" t="s">
        <v>204</v>
      </c>
      <c r="C78" s="1" t="s">
        <v>204</v>
      </c>
    </row>
    <row r="79" spans="1:3" x14ac:dyDescent="0.2">
      <c r="A79" s="1" t="s">
        <v>66</v>
      </c>
      <c r="B79" s="1" t="s">
        <v>204</v>
      </c>
      <c r="C79" s="1" t="s">
        <v>204</v>
      </c>
    </row>
    <row r="80" spans="1:3" x14ac:dyDescent="0.2">
      <c r="A80" s="1" t="s">
        <v>67</v>
      </c>
      <c r="B80" s="1" t="s">
        <v>204</v>
      </c>
      <c r="C80" s="1" t="s">
        <v>204</v>
      </c>
    </row>
    <row r="81" spans="1:3" x14ac:dyDescent="0.2">
      <c r="A81" s="1" t="s">
        <v>68</v>
      </c>
      <c r="B81" s="1" t="s">
        <v>204</v>
      </c>
      <c r="C81" s="1" t="s">
        <v>204</v>
      </c>
    </row>
    <row r="82" spans="1:3" x14ac:dyDescent="0.2">
      <c r="A82" s="1" t="s">
        <v>70</v>
      </c>
      <c r="B82" s="1" t="s">
        <v>212</v>
      </c>
      <c r="C82" s="1" t="s">
        <v>212</v>
      </c>
    </row>
    <row r="83" spans="1:3" x14ac:dyDescent="0.2">
      <c r="A83" s="1" t="s">
        <v>71</v>
      </c>
      <c r="B83" s="1" t="s">
        <v>212</v>
      </c>
      <c r="C83" s="1" t="s">
        <v>212</v>
      </c>
    </row>
    <row r="84" spans="1:3" x14ac:dyDescent="0.2">
      <c r="A84" s="1" t="s">
        <v>74</v>
      </c>
      <c r="B84" s="1" t="s">
        <v>212</v>
      </c>
      <c r="C84" s="1" t="s">
        <v>212</v>
      </c>
    </row>
    <row r="85" spans="1:3" x14ac:dyDescent="0.2">
      <c r="A85" s="1" t="s">
        <v>213</v>
      </c>
      <c r="B85" s="1" t="s">
        <v>212</v>
      </c>
      <c r="C85" s="1" t="s">
        <v>212</v>
      </c>
    </row>
    <row r="86" spans="1:3" x14ac:dyDescent="0.2">
      <c r="A86" s="1" t="s">
        <v>214</v>
      </c>
      <c r="B86" s="1" t="s">
        <v>212</v>
      </c>
      <c r="C86" s="1" t="s">
        <v>212</v>
      </c>
    </row>
    <row r="87" spans="1:3" x14ac:dyDescent="0.2">
      <c r="A87" s="1" t="s">
        <v>215</v>
      </c>
      <c r="B87" s="1" t="s">
        <v>212</v>
      </c>
      <c r="C87" s="1" t="s">
        <v>212</v>
      </c>
    </row>
    <row r="88" spans="1:3" x14ac:dyDescent="0.2">
      <c r="A88" s="1" t="s">
        <v>75</v>
      </c>
      <c r="B88" s="1" t="s">
        <v>212</v>
      </c>
      <c r="C88" s="1" t="s">
        <v>212</v>
      </c>
    </row>
    <row r="89" spans="1:3" x14ac:dyDescent="0.2">
      <c r="A89" s="1" t="s">
        <v>76</v>
      </c>
      <c r="B89" s="1" t="s">
        <v>212</v>
      </c>
      <c r="C89" s="1" t="s">
        <v>212</v>
      </c>
    </row>
    <row r="90" spans="1:3" x14ac:dyDescent="0.2">
      <c r="A90" s="1" t="s">
        <v>216</v>
      </c>
      <c r="B90" s="1" t="s">
        <v>212</v>
      </c>
      <c r="C90" s="1" t="s">
        <v>212</v>
      </c>
    </row>
    <row r="91" spans="1:3" x14ac:dyDescent="0.2">
      <c r="A91" s="1" t="s">
        <v>78</v>
      </c>
      <c r="B91" s="1" t="s">
        <v>149</v>
      </c>
      <c r="C91" s="1" t="s">
        <v>149</v>
      </c>
    </row>
    <row r="92" spans="1:3" x14ac:dyDescent="0.2">
      <c r="A92" s="1" t="s">
        <v>79</v>
      </c>
      <c r="B92" s="1" t="s">
        <v>149</v>
      </c>
      <c r="C92" s="1" t="s">
        <v>149</v>
      </c>
    </row>
    <row r="93" spans="1:3" x14ac:dyDescent="0.2">
      <c r="A93" s="1" t="s">
        <v>80</v>
      </c>
      <c r="B93" s="1" t="s">
        <v>149</v>
      </c>
      <c r="C93" s="1" t="s">
        <v>149</v>
      </c>
    </row>
    <row r="94" spans="1:3" x14ac:dyDescent="0.2">
      <c r="A94" s="1" t="s">
        <v>81</v>
      </c>
      <c r="B94" s="1" t="s">
        <v>149</v>
      </c>
      <c r="C94" s="1" t="s">
        <v>149</v>
      </c>
    </row>
    <row r="95" spans="1:3" x14ac:dyDescent="0.2">
      <c r="A95" s="1" t="s">
        <v>82</v>
      </c>
      <c r="B95" s="1" t="s">
        <v>217</v>
      </c>
      <c r="C95" s="1" t="s">
        <v>149</v>
      </c>
    </row>
    <row r="96" spans="1:3" x14ac:dyDescent="0.2">
      <c r="A96" s="1" t="s">
        <v>83</v>
      </c>
      <c r="B96" s="1" t="s">
        <v>217</v>
      </c>
      <c r="C96" s="1" t="s">
        <v>149</v>
      </c>
    </row>
    <row r="97" spans="1:3" x14ac:dyDescent="0.2">
      <c r="A97" s="1" t="s">
        <v>84</v>
      </c>
      <c r="B97" s="1" t="s">
        <v>217</v>
      </c>
      <c r="C97" s="1" t="s">
        <v>149</v>
      </c>
    </row>
    <row r="98" spans="1:3" x14ac:dyDescent="0.2">
      <c r="A98" s="1" t="s">
        <v>85</v>
      </c>
      <c r="B98" s="1" t="s">
        <v>217</v>
      </c>
      <c r="C98" s="1" t="s">
        <v>149</v>
      </c>
    </row>
    <row r="99" spans="1:3" x14ac:dyDescent="0.2">
      <c r="A99" s="1" t="s">
        <v>86</v>
      </c>
      <c r="B99" s="1" t="s">
        <v>217</v>
      </c>
      <c r="C99" s="1" t="s">
        <v>149</v>
      </c>
    </row>
    <row r="100" spans="1:3" x14ac:dyDescent="0.2">
      <c r="A100" s="1" t="s">
        <v>87</v>
      </c>
      <c r="B100" s="1" t="s">
        <v>217</v>
      </c>
      <c r="C100" s="1" t="s">
        <v>149</v>
      </c>
    </row>
    <row r="101" spans="1:3" x14ac:dyDescent="0.2">
      <c r="A101" s="1" t="s">
        <v>88</v>
      </c>
      <c r="B101" s="1" t="s">
        <v>217</v>
      </c>
      <c r="C101" s="1" t="s">
        <v>149</v>
      </c>
    </row>
    <row r="102" spans="1:3" x14ac:dyDescent="0.2">
      <c r="A102" s="1" t="s">
        <v>92</v>
      </c>
      <c r="B102" s="1" t="s">
        <v>218</v>
      </c>
      <c r="C102" s="1" t="s">
        <v>162</v>
      </c>
    </row>
    <row r="103" spans="1:3" x14ac:dyDescent="0.2">
      <c r="A103" s="1" t="s">
        <v>93</v>
      </c>
      <c r="B103" s="1" t="s">
        <v>218</v>
      </c>
      <c r="C103" s="1" t="s">
        <v>162</v>
      </c>
    </row>
    <row r="104" spans="1:3" x14ac:dyDescent="0.2">
      <c r="A104" s="1" t="s">
        <v>94</v>
      </c>
      <c r="B104" s="1" t="s">
        <v>218</v>
      </c>
      <c r="C104" s="1" t="s">
        <v>162</v>
      </c>
    </row>
    <row r="105" spans="1:3" x14ac:dyDescent="0.2">
      <c r="A105" s="1" t="s">
        <v>95</v>
      </c>
      <c r="B105" s="1" t="s">
        <v>218</v>
      </c>
      <c r="C105" s="1" t="s">
        <v>162</v>
      </c>
    </row>
    <row r="106" spans="1:3" x14ac:dyDescent="0.2">
      <c r="A106" s="1" t="s">
        <v>96</v>
      </c>
      <c r="B106" s="1" t="s">
        <v>218</v>
      </c>
      <c r="C106" s="1" t="s">
        <v>162</v>
      </c>
    </row>
    <row r="107" spans="1:3" x14ac:dyDescent="0.2">
      <c r="A107" s="1" t="s">
        <v>97</v>
      </c>
      <c r="B107" s="1" t="s">
        <v>218</v>
      </c>
      <c r="C107" s="1" t="s">
        <v>162</v>
      </c>
    </row>
    <row r="108" spans="1:3" x14ac:dyDescent="0.2">
      <c r="A108" s="1" t="s">
        <v>98</v>
      </c>
      <c r="B108" s="1" t="s">
        <v>218</v>
      </c>
      <c r="C108" s="1" t="s">
        <v>162</v>
      </c>
    </row>
    <row r="109" spans="1:3" x14ac:dyDescent="0.2">
      <c r="A109" s="1" t="s">
        <v>99</v>
      </c>
      <c r="B109" s="1" t="s">
        <v>218</v>
      </c>
      <c r="C109" s="1" t="s">
        <v>162</v>
      </c>
    </row>
    <row r="110" spans="1:3" x14ac:dyDescent="0.2">
      <c r="A110" s="1" t="s">
        <v>100</v>
      </c>
      <c r="B110" s="1" t="s">
        <v>218</v>
      </c>
      <c r="C110" s="1" t="s">
        <v>162</v>
      </c>
    </row>
    <row r="111" spans="1:3" x14ac:dyDescent="0.2">
      <c r="A111" s="1" t="s">
        <v>101</v>
      </c>
      <c r="B111" s="1" t="s">
        <v>218</v>
      </c>
      <c r="C111" s="1" t="s">
        <v>162</v>
      </c>
    </row>
    <row r="112" spans="1:3" x14ac:dyDescent="0.2">
      <c r="A112" s="1" t="s">
        <v>102</v>
      </c>
      <c r="B112" s="1" t="s">
        <v>218</v>
      </c>
      <c r="C112" s="1" t="s">
        <v>162</v>
      </c>
    </row>
    <row r="113" spans="1:3" x14ac:dyDescent="0.2">
      <c r="A113" s="1" t="s">
        <v>103</v>
      </c>
      <c r="B113" s="1" t="s">
        <v>218</v>
      </c>
      <c r="C113" s="1" t="s">
        <v>162</v>
      </c>
    </row>
    <row r="114" spans="1:3" x14ac:dyDescent="0.2">
      <c r="A114" s="1" t="s">
        <v>104</v>
      </c>
      <c r="B114" s="1" t="s">
        <v>218</v>
      </c>
      <c r="C114" s="1" t="s">
        <v>162</v>
      </c>
    </row>
    <row r="115" spans="1:3" x14ac:dyDescent="0.2">
      <c r="A115" s="1" t="s">
        <v>105</v>
      </c>
      <c r="B115" s="1" t="s">
        <v>218</v>
      </c>
      <c r="C115" s="1" t="s">
        <v>162</v>
      </c>
    </row>
    <row r="116" spans="1:3" x14ac:dyDescent="0.2">
      <c r="A116" s="1" t="s">
        <v>106</v>
      </c>
      <c r="B116" s="1" t="s">
        <v>218</v>
      </c>
      <c r="C116" s="1" t="s">
        <v>162</v>
      </c>
    </row>
    <row r="117" spans="1:3" x14ac:dyDescent="0.2">
      <c r="A117" s="1" t="s">
        <v>107</v>
      </c>
      <c r="B117" s="1" t="s">
        <v>218</v>
      </c>
      <c r="C117" s="1" t="s">
        <v>162</v>
      </c>
    </row>
    <row r="118" spans="1:3" x14ac:dyDescent="0.2">
      <c r="A118" s="1" t="s">
        <v>108</v>
      </c>
      <c r="B118" s="1" t="s">
        <v>218</v>
      </c>
      <c r="C118" s="1" t="s">
        <v>162</v>
      </c>
    </row>
    <row r="119" spans="1:3" x14ac:dyDescent="0.2">
      <c r="A119" s="1" t="s">
        <v>109</v>
      </c>
      <c r="B119" s="1" t="s">
        <v>218</v>
      </c>
      <c r="C119" s="1" t="s">
        <v>162</v>
      </c>
    </row>
    <row r="120" spans="1:3" x14ac:dyDescent="0.2">
      <c r="A120" s="1" t="s">
        <v>110</v>
      </c>
      <c r="B120" s="1" t="s">
        <v>218</v>
      </c>
      <c r="C120" s="1" t="s">
        <v>162</v>
      </c>
    </row>
    <row r="121" spans="1:3" x14ac:dyDescent="0.2">
      <c r="A121" s="1" t="s">
        <v>111</v>
      </c>
      <c r="B121" s="1" t="s">
        <v>218</v>
      </c>
      <c r="C121" s="1" t="s">
        <v>162</v>
      </c>
    </row>
    <row r="122" spans="1:3" x14ac:dyDescent="0.2">
      <c r="A122" s="1" t="s">
        <v>112</v>
      </c>
      <c r="B122" s="1" t="s">
        <v>218</v>
      </c>
      <c r="C122" s="1" t="s">
        <v>162</v>
      </c>
    </row>
    <row r="123" spans="1:3" x14ac:dyDescent="0.2">
      <c r="A123" s="1" t="s">
        <v>113</v>
      </c>
      <c r="B123" s="1" t="s">
        <v>218</v>
      </c>
      <c r="C123" s="1" t="s">
        <v>162</v>
      </c>
    </row>
    <row r="124" spans="1:3" x14ac:dyDescent="0.2">
      <c r="A124" s="1" t="s">
        <v>114</v>
      </c>
      <c r="B124" s="1" t="s">
        <v>218</v>
      </c>
      <c r="C124" s="1" t="s">
        <v>162</v>
      </c>
    </row>
    <row r="125" spans="1:3" x14ac:dyDescent="0.2">
      <c r="A125" s="1" t="s">
        <v>115</v>
      </c>
      <c r="B125" s="1" t="s">
        <v>218</v>
      </c>
      <c r="C125" s="1" t="s">
        <v>162</v>
      </c>
    </row>
    <row r="126" spans="1:3" x14ac:dyDescent="0.2">
      <c r="A126" s="1" t="s">
        <v>116</v>
      </c>
      <c r="B126" s="1" t="s">
        <v>218</v>
      </c>
      <c r="C126" s="1" t="s">
        <v>162</v>
      </c>
    </row>
    <row r="127" spans="1:3" x14ac:dyDescent="0.2">
      <c r="A127" s="1" t="s">
        <v>117</v>
      </c>
      <c r="B127" s="1" t="s">
        <v>218</v>
      </c>
      <c r="C127" s="1" t="s">
        <v>162</v>
      </c>
    </row>
    <row r="128" spans="1:3" x14ac:dyDescent="0.2">
      <c r="A128" s="1" t="s">
        <v>118</v>
      </c>
      <c r="B128" s="1" t="s">
        <v>218</v>
      </c>
      <c r="C128" s="1" t="s">
        <v>162</v>
      </c>
    </row>
    <row r="129" spans="1:3" x14ac:dyDescent="0.2">
      <c r="A129" s="1" t="s">
        <v>119</v>
      </c>
      <c r="B129" s="1" t="s">
        <v>218</v>
      </c>
      <c r="C129" s="1" t="s">
        <v>162</v>
      </c>
    </row>
    <row r="130" spans="1:3" x14ac:dyDescent="0.2">
      <c r="A130" s="1" t="s">
        <v>120</v>
      </c>
      <c r="B130" s="1" t="s">
        <v>218</v>
      </c>
      <c r="C130" s="1" t="s">
        <v>162</v>
      </c>
    </row>
    <row r="131" spans="1:3" x14ac:dyDescent="0.2">
      <c r="A131" s="1" t="s">
        <v>121</v>
      </c>
      <c r="B131" s="1" t="s">
        <v>218</v>
      </c>
      <c r="C131" s="1" t="s">
        <v>162</v>
      </c>
    </row>
    <row r="132" spans="1:3" x14ac:dyDescent="0.2">
      <c r="A132" s="1" t="s">
        <v>122</v>
      </c>
      <c r="B132" s="1" t="s">
        <v>218</v>
      </c>
      <c r="C132" s="1" t="s">
        <v>162</v>
      </c>
    </row>
    <row r="133" spans="1:3" x14ac:dyDescent="0.2">
      <c r="A133" s="1" t="s">
        <v>123</v>
      </c>
      <c r="B133" s="1" t="s">
        <v>218</v>
      </c>
      <c r="C133" s="1" t="s">
        <v>162</v>
      </c>
    </row>
    <row r="134" spans="1:3" x14ac:dyDescent="0.2">
      <c r="A134" s="1" t="s">
        <v>124</v>
      </c>
      <c r="B134" s="1" t="s">
        <v>218</v>
      </c>
      <c r="C134" s="1" t="s">
        <v>162</v>
      </c>
    </row>
    <row r="135" spans="1:3" x14ac:dyDescent="0.2">
      <c r="A135" s="1" t="s">
        <v>125</v>
      </c>
      <c r="B135" s="1" t="s">
        <v>218</v>
      </c>
      <c r="C135" s="1" t="s">
        <v>162</v>
      </c>
    </row>
    <row r="136" spans="1:3" x14ac:dyDescent="0.2">
      <c r="A136" s="1" t="s">
        <v>126</v>
      </c>
      <c r="B136" s="1" t="s">
        <v>218</v>
      </c>
      <c r="C136" s="1" t="s">
        <v>162</v>
      </c>
    </row>
    <row r="137" spans="1:3" x14ac:dyDescent="0.2">
      <c r="A137" s="1" t="s">
        <v>127</v>
      </c>
      <c r="B137" s="1" t="s">
        <v>218</v>
      </c>
      <c r="C137" s="1" t="s">
        <v>162</v>
      </c>
    </row>
    <row r="138" spans="1:3" x14ac:dyDescent="0.2">
      <c r="A138" s="1" t="s">
        <v>128</v>
      </c>
      <c r="B138" s="1" t="s">
        <v>218</v>
      </c>
      <c r="C138" s="1" t="s">
        <v>162</v>
      </c>
    </row>
    <row r="139" spans="1:3" x14ac:dyDescent="0.2">
      <c r="A139" s="1" t="s">
        <v>129</v>
      </c>
      <c r="B139" s="1" t="s">
        <v>218</v>
      </c>
      <c r="C139" s="1" t="s">
        <v>162</v>
      </c>
    </row>
    <row r="140" spans="1:3" x14ac:dyDescent="0.2">
      <c r="A140" s="1" t="s">
        <v>130</v>
      </c>
      <c r="B140" s="1" t="s">
        <v>218</v>
      </c>
      <c r="C140" s="1" t="s">
        <v>162</v>
      </c>
    </row>
    <row r="141" spans="1:3" x14ac:dyDescent="0.2">
      <c r="A141" s="1" t="s">
        <v>131</v>
      </c>
      <c r="B141" s="1" t="s">
        <v>218</v>
      </c>
      <c r="C141" s="1" t="s">
        <v>162</v>
      </c>
    </row>
    <row r="142" spans="1:3" x14ac:dyDescent="0.2">
      <c r="A142" s="1" t="s">
        <v>132</v>
      </c>
      <c r="B142" s="1" t="s">
        <v>218</v>
      </c>
      <c r="C142" s="1" t="s">
        <v>162</v>
      </c>
    </row>
    <row r="143" spans="1:3" x14ac:dyDescent="0.2">
      <c r="A143" s="1" t="s">
        <v>133</v>
      </c>
      <c r="B143" s="1" t="s">
        <v>218</v>
      </c>
      <c r="C143" s="1" t="s">
        <v>162</v>
      </c>
    </row>
    <row r="144" spans="1:3" x14ac:dyDescent="0.2">
      <c r="A144" s="1" t="s">
        <v>134</v>
      </c>
      <c r="B144" s="1" t="s">
        <v>218</v>
      </c>
      <c r="C144" s="1" t="s">
        <v>162</v>
      </c>
    </row>
    <row r="145" spans="1:3" x14ac:dyDescent="0.2">
      <c r="A145" s="1" t="s">
        <v>135</v>
      </c>
      <c r="B145" s="1" t="s">
        <v>218</v>
      </c>
      <c r="C145" s="1" t="s">
        <v>162</v>
      </c>
    </row>
    <row r="146" spans="1:3" x14ac:dyDescent="0.2">
      <c r="A146" s="1" t="s">
        <v>136</v>
      </c>
      <c r="B146" s="1" t="s">
        <v>218</v>
      </c>
      <c r="C146" s="1" t="s">
        <v>162</v>
      </c>
    </row>
    <row r="147" spans="1:3" x14ac:dyDescent="0.2">
      <c r="A147" s="1" t="s">
        <v>137</v>
      </c>
      <c r="B147" s="1" t="s">
        <v>218</v>
      </c>
      <c r="C147" s="1" t="s">
        <v>162</v>
      </c>
    </row>
    <row r="148" spans="1:3" x14ac:dyDescent="0.2">
      <c r="A148" s="1" t="s">
        <v>138</v>
      </c>
      <c r="B148" s="1" t="s">
        <v>218</v>
      </c>
      <c r="C148" s="1" t="s">
        <v>162</v>
      </c>
    </row>
    <row r="149" spans="1:3" x14ac:dyDescent="0.2">
      <c r="A149" s="1" t="s">
        <v>139</v>
      </c>
      <c r="B149" s="1" t="s">
        <v>218</v>
      </c>
      <c r="C149" s="1" t="s">
        <v>162</v>
      </c>
    </row>
    <row r="150" spans="1:3" x14ac:dyDescent="0.2">
      <c r="A150" s="1" t="s">
        <v>140</v>
      </c>
      <c r="B150" s="1" t="s">
        <v>218</v>
      </c>
      <c r="C150" s="1" t="s">
        <v>162</v>
      </c>
    </row>
    <row r="151" spans="1:3" x14ac:dyDescent="0.2">
      <c r="A151" s="1" t="s">
        <v>22</v>
      </c>
      <c r="B151" s="1" t="s">
        <v>161</v>
      </c>
      <c r="C151" s="1" t="s">
        <v>162</v>
      </c>
    </row>
    <row r="152" spans="1:3" x14ac:dyDescent="0.2">
      <c r="A152" s="1" t="s">
        <v>52</v>
      </c>
      <c r="B152" s="1" t="s">
        <v>161</v>
      </c>
      <c r="C152" s="1" t="s">
        <v>162</v>
      </c>
    </row>
    <row r="153" spans="1:3" x14ac:dyDescent="0.2">
      <c r="A153" s="1" t="s">
        <v>91</v>
      </c>
      <c r="B153" s="1" t="s">
        <v>218</v>
      </c>
      <c r="C153" s="1" t="s">
        <v>162</v>
      </c>
    </row>
    <row r="154" spans="1:3" x14ac:dyDescent="0.2">
      <c r="A154" s="2" t="s">
        <v>142</v>
      </c>
      <c r="B154" s="1" t="s">
        <v>161</v>
      </c>
      <c r="C154" s="1" t="s">
        <v>162</v>
      </c>
    </row>
    <row r="155" spans="1:3" x14ac:dyDescent="0.2">
      <c r="A155" s="2" t="s">
        <v>143</v>
      </c>
      <c r="B155" s="1" t="s">
        <v>161</v>
      </c>
      <c r="C155" s="1" t="s">
        <v>162</v>
      </c>
    </row>
    <row r="156" spans="1:3" x14ac:dyDescent="0.2">
      <c r="A156" s="1" t="s">
        <v>5</v>
      </c>
      <c r="B156" s="1" t="s">
        <v>161</v>
      </c>
      <c r="C156" s="1" t="s">
        <v>162</v>
      </c>
    </row>
    <row r="157" spans="1:3" x14ac:dyDescent="0.2">
      <c r="A157" s="1" t="s">
        <v>6</v>
      </c>
      <c r="B157" s="1" t="s">
        <v>161</v>
      </c>
      <c r="C157" s="1" t="s">
        <v>162</v>
      </c>
    </row>
    <row r="158" spans="1:3" x14ac:dyDescent="0.2">
      <c r="A158" s="1" t="s">
        <v>7</v>
      </c>
      <c r="B158" s="1" t="s">
        <v>161</v>
      </c>
      <c r="C158" s="1" t="s">
        <v>162</v>
      </c>
    </row>
    <row r="159" spans="1:3" x14ac:dyDescent="0.2">
      <c r="A159" s="1" t="s">
        <v>8</v>
      </c>
      <c r="B159" s="1" t="s">
        <v>161</v>
      </c>
      <c r="C159" s="1" t="s">
        <v>162</v>
      </c>
    </row>
    <row r="160" spans="1:3" x14ac:dyDescent="0.2">
      <c r="A160" s="1" t="s">
        <v>9</v>
      </c>
      <c r="B160" s="1" t="s">
        <v>161</v>
      </c>
      <c r="C160" s="1" t="s">
        <v>162</v>
      </c>
    </row>
    <row r="161" spans="1:3" x14ac:dyDescent="0.2">
      <c r="A161" s="1" t="s">
        <v>11</v>
      </c>
      <c r="B161" s="1" t="s">
        <v>161</v>
      </c>
      <c r="C161" s="1" t="s">
        <v>162</v>
      </c>
    </row>
    <row r="162" spans="1:3" x14ac:dyDescent="0.2">
      <c r="A162" s="1" t="s">
        <v>15</v>
      </c>
      <c r="B162" s="1" t="s">
        <v>161</v>
      </c>
      <c r="C162" s="1" t="s">
        <v>162</v>
      </c>
    </row>
    <row r="163" spans="1:3" x14ac:dyDescent="0.2">
      <c r="A163" s="1" t="s">
        <v>16</v>
      </c>
      <c r="B163" s="1" t="s">
        <v>161</v>
      </c>
      <c r="C163" s="1" t="s">
        <v>162</v>
      </c>
    </row>
    <row r="164" spans="1:3" x14ac:dyDescent="0.2">
      <c r="A164" s="1" t="s">
        <v>17</v>
      </c>
      <c r="B164" s="1" t="s">
        <v>161</v>
      </c>
      <c r="C164" s="1" t="s">
        <v>162</v>
      </c>
    </row>
    <row r="165" spans="1:3" x14ac:dyDescent="0.2">
      <c r="A165" s="1" t="s">
        <v>18</v>
      </c>
      <c r="B165" s="1" t="s">
        <v>161</v>
      </c>
      <c r="C165" s="1" t="s">
        <v>162</v>
      </c>
    </row>
    <row r="166" spans="1:3" x14ac:dyDescent="0.2">
      <c r="A166" s="1" t="s">
        <v>20</v>
      </c>
      <c r="B166" s="1" t="s">
        <v>161</v>
      </c>
      <c r="C166" s="1" t="s">
        <v>162</v>
      </c>
    </row>
    <row r="167" spans="1:3" x14ac:dyDescent="0.2">
      <c r="A167" s="1" t="s">
        <v>21</v>
      </c>
      <c r="B167" s="1" t="s">
        <v>161</v>
      </c>
      <c r="C167" s="1" t="s">
        <v>162</v>
      </c>
    </row>
    <row r="168" spans="1:3" x14ac:dyDescent="0.2">
      <c r="A168" s="1" t="s">
        <v>24</v>
      </c>
      <c r="B168" s="1" t="s">
        <v>161</v>
      </c>
      <c r="C168" s="1" t="s">
        <v>162</v>
      </c>
    </row>
    <row r="169" spans="1:3" x14ac:dyDescent="0.2">
      <c r="A169" s="1" t="s">
        <v>26</v>
      </c>
      <c r="B169" s="1" t="s">
        <v>161</v>
      </c>
      <c r="C169" s="1" t="s">
        <v>162</v>
      </c>
    </row>
    <row r="170" spans="1:3" x14ac:dyDescent="0.2">
      <c r="A170" s="1" t="s">
        <v>27</v>
      </c>
      <c r="B170" s="1" t="s">
        <v>161</v>
      </c>
      <c r="C170" s="1" t="s">
        <v>162</v>
      </c>
    </row>
    <row r="171" spans="1:3" x14ac:dyDescent="0.2">
      <c r="A171" s="1" t="s">
        <v>29</v>
      </c>
      <c r="B171" s="1" t="s">
        <v>161</v>
      </c>
      <c r="C171" s="1" t="s">
        <v>162</v>
      </c>
    </row>
    <row r="172" spans="1:3" x14ac:dyDescent="0.2">
      <c r="A172" s="1" t="s">
        <v>30</v>
      </c>
      <c r="B172" s="1" t="s">
        <v>161</v>
      </c>
      <c r="C172" s="1" t="s">
        <v>162</v>
      </c>
    </row>
    <row r="173" spans="1:3" x14ac:dyDescent="0.2">
      <c r="A173" s="1" t="s">
        <v>31</v>
      </c>
      <c r="B173" s="1" t="s">
        <v>161</v>
      </c>
      <c r="C173" s="1" t="s">
        <v>162</v>
      </c>
    </row>
    <row r="174" spans="1:3" x14ac:dyDescent="0.2">
      <c r="A174" s="1" t="s">
        <v>32</v>
      </c>
      <c r="B174" s="1" t="s">
        <v>161</v>
      </c>
      <c r="C174" s="1" t="s">
        <v>162</v>
      </c>
    </row>
    <row r="175" spans="1:3" x14ac:dyDescent="0.2">
      <c r="A175" s="1" t="s">
        <v>33</v>
      </c>
      <c r="B175" s="1" t="s">
        <v>161</v>
      </c>
      <c r="C175" s="1" t="s">
        <v>162</v>
      </c>
    </row>
    <row r="176" spans="1:3" x14ac:dyDescent="0.2">
      <c r="A176" s="1" t="s">
        <v>34</v>
      </c>
      <c r="B176" s="1" t="s">
        <v>161</v>
      </c>
      <c r="C176" s="1" t="s">
        <v>162</v>
      </c>
    </row>
    <row r="177" spans="1:3" x14ac:dyDescent="0.2">
      <c r="A177" s="1" t="s">
        <v>35</v>
      </c>
      <c r="B177" s="1" t="s">
        <v>161</v>
      </c>
      <c r="C177" s="1" t="s">
        <v>162</v>
      </c>
    </row>
    <row r="178" spans="1:3" x14ac:dyDescent="0.2">
      <c r="A178" s="1" t="s">
        <v>36</v>
      </c>
      <c r="B178" s="1" t="s">
        <v>161</v>
      </c>
      <c r="C178" s="1" t="s">
        <v>162</v>
      </c>
    </row>
    <row r="179" spans="1:3" x14ac:dyDescent="0.2">
      <c r="A179" s="1" t="s">
        <v>37</v>
      </c>
      <c r="B179" s="1" t="s">
        <v>161</v>
      </c>
      <c r="C179" s="1" t="s">
        <v>162</v>
      </c>
    </row>
    <row r="180" spans="1:3" x14ac:dyDescent="0.2">
      <c r="A180" s="1" t="s">
        <v>38</v>
      </c>
      <c r="B180" s="1" t="s">
        <v>161</v>
      </c>
      <c r="C180" s="1" t="s">
        <v>162</v>
      </c>
    </row>
    <row r="181" spans="1:3" x14ac:dyDescent="0.2">
      <c r="A181" s="1" t="s">
        <v>39</v>
      </c>
      <c r="B181" s="1" t="s">
        <v>161</v>
      </c>
      <c r="C181" s="1" t="s">
        <v>162</v>
      </c>
    </row>
    <row r="182" spans="1:3" x14ac:dyDescent="0.2">
      <c r="A182" s="1" t="s">
        <v>40</v>
      </c>
      <c r="B182" s="1" t="s">
        <v>161</v>
      </c>
      <c r="C182" s="1" t="s">
        <v>162</v>
      </c>
    </row>
    <row r="183" spans="1:3" x14ac:dyDescent="0.2">
      <c r="A183" s="1" t="s">
        <v>42</v>
      </c>
      <c r="B183" s="1" t="s">
        <v>161</v>
      </c>
      <c r="C183" s="1" t="s">
        <v>162</v>
      </c>
    </row>
    <row r="184" spans="1:3" x14ac:dyDescent="0.2">
      <c r="A184" s="1" t="s">
        <v>43</v>
      </c>
      <c r="B184" s="1" t="s">
        <v>161</v>
      </c>
      <c r="C184" s="1" t="s">
        <v>162</v>
      </c>
    </row>
    <row r="185" spans="1:3" x14ac:dyDescent="0.2">
      <c r="A185" s="1" t="s">
        <v>61</v>
      </c>
      <c r="B185" s="1" t="s">
        <v>204</v>
      </c>
      <c r="C185" s="1" t="s">
        <v>204</v>
      </c>
    </row>
    <row r="186" spans="1:3" x14ac:dyDescent="0.2">
      <c r="A186" s="1" t="s">
        <v>63</v>
      </c>
      <c r="B186" s="1" t="s">
        <v>204</v>
      </c>
      <c r="C186" s="1" t="s">
        <v>204</v>
      </c>
    </row>
    <row r="187" spans="1:3" x14ac:dyDescent="0.2">
      <c r="A187" s="1" t="s">
        <v>64</v>
      </c>
      <c r="B187" s="1" t="s">
        <v>204</v>
      </c>
      <c r="C187" s="1" t="s">
        <v>204</v>
      </c>
    </row>
    <row r="188" spans="1:3" x14ac:dyDescent="0.2">
      <c r="A188" s="1" t="s">
        <v>72</v>
      </c>
      <c r="B188" s="1" t="s">
        <v>212</v>
      </c>
      <c r="C188" s="1" t="s">
        <v>212</v>
      </c>
    </row>
    <row r="189" spans="1:3" x14ac:dyDescent="0.2">
      <c r="A189" s="1" t="s">
        <v>73</v>
      </c>
      <c r="B189" s="1" t="s">
        <v>212</v>
      </c>
      <c r="C189" s="1" t="s">
        <v>212</v>
      </c>
    </row>
    <row r="190" spans="1:3" x14ac:dyDescent="0.2">
      <c r="A190" s="1" t="s">
        <v>90</v>
      </c>
      <c r="B190" s="1" t="s">
        <v>218</v>
      </c>
      <c r="C190" s="1" t="s">
        <v>162</v>
      </c>
    </row>
    <row r="191" spans="1:3" x14ac:dyDescent="0.2">
      <c r="A191" s="1" t="s">
        <v>141</v>
      </c>
      <c r="B191" s="1" t="s">
        <v>218</v>
      </c>
      <c r="C191" s="1" t="s">
        <v>162</v>
      </c>
    </row>
    <row r="192" spans="1:3" x14ac:dyDescent="0.2">
      <c r="A192" s="1" t="s">
        <v>89</v>
      </c>
      <c r="B192" s="1" t="s">
        <v>218</v>
      </c>
      <c r="C192" s="1" t="s">
        <v>162</v>
      </c>
    </row>
    <row r="193" spans="1:3" x14ac:dyDescent="0.2">
      <c r="A193" s="1" t="s">
        <v>62</v>
      </c>
      <c r="B193" s="1" t="s">
        <v>204</v>
      </c>
      <c r="C193" s="1" t="s">
        <v>204</v>
      </c>
    </row>
    <row r="194" spans="1:3" x14ac:dyDescent="0.2">
      <c r="A194" s="1" t="s">
        <v>60</v>
      </c>
      <c r="B194" s="1" t="s">
        <v>204</v>
      </c>
      <c r="C194" s="1" t="s">
        <v>204</v>
      </c>
    </row>
    <row r="195" spans="1:3" x14ac:dyDescent="0.2">
      <c r="A195" s="1" t="s">
        <v>28</v>
      </c>
      <c r="B195" s="1" t="s">
        <v>161</v>
      </c>
      <c r="C195" s="1" t="s">
        <v>162</v>
      </c>
    </row>
    <row r="196" spans="1:3" x14ac:dyDescent="0.2">
      <c r="A196" s="1" t="s">
        <v>226</v>
      </c>
      <c r="B196" s="1" t="s">
        <v>161</v>
      </c>
      <c r="C196" s="1" t="s">
        <v>162</v>
      </c>
    </row>
    <row r="197" spans="1:3" x14ac:dyDescent="0.2">
      <c r="A197" s="1" t="s">
        <v>227</v>
      </c>
      <c r="B197" s="1" t="s">
        <v>161</v>
      </c>
      <c r="C197" s="1" t="s">
        <v>162</v>
      </c>
    </row>
    <row r="198" spans="1:3" x14ac:dyDescent="0.2">
      <c r="A198" s="1" t="s">
        <v>228</v>
      </c>
      <c r="B198" s="1" t="s">
        <v>161</v>
      </c>
      <c r="C198" s="1" t="s">
        <v>162</v>
      </c>
    </row>
    <row r="199" spans="1:3" x14ac:dyDescent="0.2">
      <c r="A199" s="1" t="s">
        <v>229</v>
      </c>
      <c r="B199" s="1" t="s">
        <v>161</v>
      </c>
      <c r="C199" s="1" t="s">
        <v>162</v>
      </c>
    </row>
    <row r="200" spans="1:3" x14ac:dyDescent="0.2">
      <c r="A200" s="1" t="s">
        <v>230</v>
      </c>
      <c r="B200" s="1" t="s">
        <v>161</v>
      </c>
      <c r="C200" s="1" t="s">
        <v>162</v>
      </c>
    </row>
    <row r="201" spans="1:3" x14ac:dyDescent="0.2">
      <c r="A201" s="1" t="s">
        <v>231</v>
      </c>
      <c r="B201" s="1" t="s">
        <v>161</v>
      </c>
      <c r="C201" s="1" t="s">
        <v>162</v>
      </c>
    </row>
    <row r="202" spans="1:3" x14ac:dyDescent="0.2">
      <c r="A202" s="1" t="s">
        <v>232</v>
      </c>
      <c r="B202" s="1" t="s">
        <v>161</v>
      </c>
      <c r="C202" s="1" t="s">
        <v>162</v>
      </c>
    </row>
    <row r="203" spans="1:3" x14ac:dyDescent="0.2">
      <c r="A203" s="1" t="s">
        <v>233</v>
      </c>
      <c r="B203" s="1" t="s">
        <v>161</v>
      </c>
      <c r="C203" s="1" t="s">
        <v>162</v>
      </c>
    </row>
    <row r="204" spans="1:3" x14ac:dyDescent="0.2">
      <c r="A204" s="1" t="s">
        <v>234</v>
      </c>
      <c r="B204" s="1" t="s">
        <v>161</v>
      </c>
      <c r="C204" s="1" t="s">
        <v>162</v>
      </c>
    </row>
    <row r="205" spans="1:3" x14ac:dyDescent="0.2">
      <c r="A205" s="1" t="s">
        <v>235</v>
      </c>
      <c r="B205" s="1" t="s">
        <v>161</v>
      </c>
      <c r="C205" s="1" t="s">
        <v>162</v>
      </c>
    </row>
    <row r="206" spans="1:3" x14ac:dyDescent="0.2">
      <c r="A206" s="1" t="s">
        <v>236</v>
      </c>
      <c r="B206" s="1" t="s">
        <v>161</v>
      </c>
      <c r="C206" s="1" t="s">
        <v>162</v>
      </c>
    </row>
    <row r="207" spans="1:3" x14ac:dyDescent="0.2">
      <c r="A207" s="1" t="s">
        <v>237</v>
      </c>
      <c r="B207" s="1" t="s">
        <v>161</v>
      </c>
      <c r="C207" s="1" t="s">
        <v>162</v>
      </c>
    </row>
    <row r="208" spans="1:3" x14ac:dyDescent="0.2">
      <c r="A208" s="1" t="s">
        <v>238</v>
      </c>
      <c r="B208" s="1" t="s">
        <v>161</v>
      </c>
      <c r="C208" s="1" t="s">
        <v>162</v>
      </c>
    </row>
    <row r="209" spans="1:3" x14ac:dyDescent="0.2">
      <c r="A209" s="1" t="s">
        <v>239</v>
      </c>
      <c r="B209" s="1" t="s">
        <v>161</v>
      </c>
      <c r="C209" s="1" t="s">
        <v>162</v>
      </c>
    </row>
    <row r="210" spans="1:3" x14ac:dyDescent="0.2">
      <c r="A210" s="1" t="s">
        <v>240</v>
      </c>
      <c r="B210" s="1" t="s">
        <v>161</v>
      </c>
      <c r="C210" s="1" t="s">
        <v>162</v>
      </c>
    </row>
    <row r="211" spans="1:3" x14ac:dyDescent="0.2">
      <c r="A211" s="1" t="s">
        <v>241</v>
      </c>
      <c r="B211" s="1" t="s">
        <v>161</v>
      </c>
      <c r="C211" s="1" t="s">
        <v>162</v>
      </c>
    </row>
    <row r="212" spans="1:3" x14ac:dyDescent="0.2">
      <c r="A212" s="1" t="s">
        <v>242</v>
      </c>
      <c r="B212" s="1" t="s">
        <v>161</v>
      </c>
      <c r="C212" s="1" t="s">
        <v>162</v>
      </c>
    </row>
    <row r="213" spans="1:3" x14ac:dyDescent="0.2">
      <c r="A213" s="1" t="s">
        <v>243</v>
      </c>
      <c r="B213" s="1" t="s">
        <v>161</v>
      </c>
      <c r="C213" s="1" t="s">
        <v>162</v>
      </c>
    </row>
    <row r="214" spans="1:3" x14ac:dyDescent="0.2">
      <c r="A214" s="1" t="s">
        <v>244</v>
      </c>
      <c r="B214" s="1" t="s">
        <v>161</v>
      </c>
      <c r="C214" s="1" t="s">
        <v>162</v>
      </c>
    </row>
    <row r="215" spans="1:3" x14ac:dyDescent="0.2">
      <c r="A215" s="1" t="s">
        <v>245</v>
      </c>
      <c r="B215" s="1" t="s">
        <v>161</v>
      </c>
      <c r="C215" s="1" t="s">
        <v>162</v>
      </c>
    </row>
    <row r="216" spans="1:3" x14ac:dyDescent="0.2">
      <c r="A216" s="1" t="s">
        <v>246</v>
      </c>
      <c r="B216" s="1" t="s">
        <v>161</v>
      </c>
      <c r="C216" s="1" t="s">
        <v>162</v>
      </c>
    </row>
    <row r="217" spans="1:3" x14ac:dyDescent="0.2">
      <c r="A217" s="1" t="s">
        <v>247</v>
      </c>
      <c r="B217" s="1" t="s">
        <v>161</v>
      </c>
      <c r="C217" s="1" t="s">
        <v>162</v>
      </c>
    </row>
    <row r="218" spans="1:3" x14ac:dyDescent="0.2">
      <c r="A218" s="1" t="s">
        <v>248</v>
      </c>
      <c r="B218" s="1" t="s">
        <v>161</v>
      </c>
      <c r="C218" s="1" t="s">
        <v>162</v>
      </c>
    </row>
    <row r="219" spans="1:3" x14ac:dyDescent="0.2">
      <c r="A219" s="1" t="s">
        <v>249</v>
      </c>
      <c r="B219" s="1" t="s">
        <v>161</v>
      </c>
      <c r="C219" s="1" t="s">
        <v>162</v>
      </c>
    </row>
    <row r="220" spans="1:3" x14ac:dyDescent="0.2">
      <c r="A220" s="1" t="s">
        <v>250</v>
      </c>
      <c r="B220" s="1" t="s">
        <v>161</v>
      </c>
      <c r="C220" s="1" t="s">
        <v>162</v>
      </c>
    </row>
    <row r="221" spans="1:3" x14ac:dyDescent="0.2">
      <c r="A221" s="1" t="s">
        <v>268</v>
      </c>
      <c r="B221" s="1" t="s">
        <v>161</v>
      </c>
      <c r="C221" s="1" t="s">
        <v>162</v>
      </c>
    </row>
    <row r="222" spans="1:3" x14ac:dyDescent="0.2">
      <c r="A222" s="1" t="s">
        <v>251</v>
      </c>
      <c r="B222" s="1" t="s">
        <v>161</v>
      </c>
      <c r="C222" s="1" t="s">
        <v>162</v>
      </c>
    </row>
    <row r="223" spans="1:3" x14ac:dyDescent="0.2">
      <c r="A223" s="1" t="s">
        <v>252</v>
      </c>
      <c r="B223" s="1" t="s">
        <v>161</v>
      </c>
      <c r="C223" s="1" t="s">
        <v>162</v>
      </c>
    </row>
    <row r="224" spans="1:3" x14ac:dyDescent="0.2">
      <c r="A224" s="1" t="s">
        <v>269</v>
      </c>
      <c r="B224" s="1" t="s">
        <v>161</v>
      </c>
      <c r="C224" s="1" t="s">
        <v>162</v>
      </c>
    </row>
    <row r="225" spans="1:3" x14ac:dyDescent="0.2">
      <c r="A225" s="1" t="s">
        <v>253</v>
      </c>
      <c r="B225" s="1" t="s">
        <v>161</v>
      </c>
      <c r="C225" s="1" t="s">
        <v>162</v>
      </c>
    </row>
    <row r="226" spans="1:3" x14ac:dyDescent="0.2">
      <c r="A226" s="1" t="s">
        <v>254</v>
      </c>
      <c r="B226" s="1" t="s">
        <v>161</v>
      </c>
      <c r="C226" s="1" t="s">
        <v>162</v>
      </c>
    </row>
    <row r="227" spans="1:3" x14ac:dyDescent="0.2">
      <c r="A227" s="1" t="s">
        <v>255</v>
      </c>
      <c r="B227" s="1" t="s">
        <v>161</v>
      </c>
      <c r="C227" s="1" t="s">
        <v>162</v>
      </c>
    </row>
    <row r="228" spans="1:3" x14ac:dyDescent="0.2">
      <c r="A228" s="1" t="s">
        <v>256</v>
      </c>
      <c r="B228" s="1" t="s">
        <v>161</v>
      </c>
      <c r="C228" s="1" t="s">
        <v>162</v>
      </c>
    </row>
    <row r="229" spans="1:3" x14ac:dyDescent="0.2">
      <c r="A229" s="1" t="s">
        <v>257</v>
      </c>
      <c r="B229" s="1" t="s">
        <v>161</v>
      </c>
      <c r="C229" s="1" t="s">
        <v>162</v>
      </c>
    </row>
    <row r="230" spans="1:3" x14ac:dyDescent="0.2">
      <c r="A230" s="1" t="s">
        <v>258</v>
      </c>
      <c r="B230" s="1" t="s">
        <v>161</v>
      </c>
      <c r="C230" s="1" t="s">
        <v>162</v>
      </c>
    </row>
    <row r="231" spans="1:3" x14ac:dyDescent="0.2">
      <c r="A231" s="1" t="s">
        <v>259</v>
      </c>
      <c r="B231" s="1" t="s">
        <v>161</v>
      </c>
      <c r="C231" s="1" t="s">
        <v>162</v>
      </c>
    </row>
    <row r="232" spans="1:3" x14ac:dyDescent="0.2">
      <c r="A232" s="1" t="s">
        <v>260</v>
      </c>
      <c r="B232" s="1" t="s">
        <v>161</v>
      </c>
      <c r="C232" s="1" t="s">
        <v>162</v>
      </c>
    </row>
    <row r="233" spans="1:3" x14ac:dyDescent="0.2">
      <c r="A233" s="1" t="s">
        <v>261</v>
      </c>
      <c r="B233" s="1" t="s">
        <v>161</v>
      </c>
      <c r="C233" s="1" t="s">
        <v>162</v>
      </c>
    </row>
    <row r="234" spans="1:3" x14ac:dyDescent="0.2">
      <c r="A234" s="1" t="s">
        <v>262</v>
      </c>
      <c r="B234" s="1" t="s">
        <v>209</v>
      </c>
      <c r="C234" s="1" t="s">
        <v>209</v>
      </c>
    </row>
    <row r="235" spans="1:3" x14ac:dyDescent="0.2">
      <c r="A235" s="1" t="s">
        <v>263</v>
      </c>
      <c r="B235" s="1" t="s">
        <v>212</v>
      </c>
      <c r="C235" s="1" t="s">
        <v>204</v>
      </c>
    </row>
    <row r="236" spans="1:3" x14ac:dyDescent="0.2">
      <c r="A236" s="1" t="s">
        <v>264</v>
      </c>
      <c r="B236" s="1" t="s">
        <v>204</v>
      </c>
      <c r="C236" s="1" t="s">
        <v>204</v>
      </c>
    </row>
    <row r="237" spans="1:3" x14ac:dyDescent="0.2">
      <c r="A237" s="1" t="s">
        <v>265</v>
      </c>
      <c r="B237" s="1" t="s">
        <v>204</v>
      </c>
      <c r="C237" s="1" t="s">
        <v>204</v>
      </c>
    </row>
    <row r="238" spans="1:3" x14ac:dyDescent="0.2">
      <c r="A238" s="1" t="s">
        <v>266</v>
      </c>
      <c r="B238" s="1" t="s">
        <v>204</v>
      </c>
      <c r="C238" s="1" t="s">
        <v>204</v>
      </c>
    </row>
    <row r="239" spans="1:3" x14ac:dyDescent="0.2">
      <c r="A239" s="1" t="s">
        <v>267</v>
      </c>
      <c r="B239" s="1" t="s">
        <v>149</v>
      </c>
      <c r="C239" s="1" t="s">
        <v>149</v>
      </c>
    </row>
    <row r="240" spans="1:3" x14ac:dyDescent="0.2">
      <c r="A240" s="1" t="s">
        <v>299</v>
      </c>
      <c r="B240" s="1" t="s">
        <v>161</v>
      </c>
      <c r="C240" s="1" t="s">
        <v>162</v>
      </c>
    </row>
    <row r="241" spans="1:3" x14ac:dyDescent="0.2">
      <c r="A241" s="1" t="s">
        <v>300</v>
      </c>
      <c r="B241" s="1" t="s">
        <v>161</v>
      </c>
      <c r="C241" s="1" t="s">
        <v>162</v>
      </c>
    </row>
    <row r="242" spans="1:3" x14ac:dyDescent="0.2">
      <c r="A242" s="1" t="s">
        <v>301</v>
      </c>
      <c r="B242" s="1" t="s">
        <v>161</v>
      </c>
      <c r="C242" s="1" t="s">
        <v>162</v>
      </c>
    </row>
    <row r="243" spans="1:3" x14ac:dyDescent="0.2">
      <c r="A243" s="1" t="s">
        <v>270</v>
      </c>
      <c r="B243" s="1" t="s">
        <v>161</v>
      </c>
      <c r="C243" s="1" t="s">
        <v>162</v>
      </c>
    </row>
    <row r="244" spans="1:3" x14ac:dyDescent="0.2">
      <c r="A244" s="1" t="s">
        <v>271</v>
      </c>
      <c r="B244" s="1" t="s">
        <v>161</v>
      </c>
      <c r="C244" s="1" t="s">
        <v>162</v>
      </c>
    </row>
    <row r="245" spans="1:3" x14ac:dyDescent="0.2">
      <c r="A245" s="1" t="s">
        <v>272</v>
      </c>
      <c r="B245" s="1" t="s">
        <v>161</v>
      </c>
      <c r="C245" s="1" t="s">
        <v>162</v>
      </c>
    </row>
    <row r="246" spans="1:3" x14ac:dyDescent="0.2">
      <c r="A246" s="1" t="s">
        <v>273</v>
      </c>
      <c r="B246" s="1" t="s">
        <v>161</v>
      </c>
      <c r="C246" s="1" t="s">
        <v>162</v>
      </c>
    </row>
    <row r="247" spans="1:3" x14ac:dyDescent="0.2">
      <c r="A247" s="1" t="s">
        <v>274</v>
      </c>
      <c r="B247" s="1" t="s">
        <v>161</v>
      </c>
      <c r="C247" s="1" t="s">
        <v>162</v>
      </c>
    </row>
    <row r="248" spans="1:3" x14ac:dyDescent="0.2">
      <c r="A248" s="1" t="s">
        <v>275</v>
      </c>
      <c r="B248" s="1" t="s">
        <v>161</v>
      </c>
      <c r="C248" s="1" t="s">
        <v>162</v>
      </c>
    </row>
    <row r="249" spans="1:3" x14ac:dyDescent="0.2">
      <c r="A249" s="1" t="s">
        <v>276</v>
      </c>
      <c r="B249" s="1" t="s">
        <v>161</v>
      </c>
      <c r="C249" s="1" t="s">
        <v>162</v>
      </c>
    </row>
    <row r="250" spans="1:3" x14ac:dyDescent="0.2">
      <c r="A250" s="1" t="s">
        <v>277</v>
      </c>
      <c r="B250" s="1" t="s">
        <v>161</v>
      </c>
      <c r="C250" s="1" t="s">
        <v>162</v>
      </c>
    </row>
    <row r="251" spans="1:3" x14ac:dyDescent="0.2">
      <c r="A251" s="1" t="s">
        <v>278</v>
      </c>
      <c r="B251" s="1" t="s">
        <v>161</v>
      </c>
      <c r="C251" s="1" t="s">
        <v>162</v>
      </c>
    </row>
    <row r="252" spans="1:3" x14ac:dyDescent="0.2">
      <c r="A252" s="1" t="s">
        <v>279</v>
      </c>
      <c r="B252" s="1" t="s">
        <v>161</v>
      </c>
      <c r="C252" s="1" t="s">
        <v>162</v>
      </c>
    </row>
    <row r="253" spans="1:3" x14ac:dyDescent="0.2">
      <c r="A253" s="1" t="s">
        <v>280</v>
      </c>
      <c r="B253" s="1" t="s">
        <v>161</v>
      </c>
      <c r="C253" s="1" t="s">
        <v>162</v>
      </c>
    </row>
    <row r="254" spans="1:3" x14ac:dyDescent="0.2">
      <c r="A254" s="1" t="s">
        <v>281</v>
      </c>
      <c r="B254" s="1" t="s">
        <v>161</v>
      </c>
      <c r="C254" s="1" t="s">
        <v>162</v>
      </c>
    </row>
    <row r="255" spans="1:3" x14ac:dyDescent="0.2">
      <c r="A255" s="1" t="s">
        <v>282</v>
      </c>
      <c r="B255" s="1" t="s">
        <v>161</v>
      </c>
      <c r="C255" s="1" t="s">
        <v>162</v>
      </c>
    </row>
    <row r="256" spans="1:3" x14ac:dyDescent="0.2">
      <c r="A256" s="1" t="s">
        <v>283</v>
      </c>
      <c r="B256" s="1" t="s">
        <v>161</v>
      </c>
      <c r="C256" s="1" t="s">
        <v>162</v>
      </c>
    </row>
    <row r="257" spans="1:3" x14ac:dyDescent="0.2">
      <c r="A257" s="1" t="s">
        <v>284</v>
      </c>
      <c r="B257" s="1" t="s">
        <v>161</v>
      </c>
      <c r="C257" s="1" t="s">
        <v>162</v>
      </c>
    </row>
    <row r="258" spans="1:3" x14ac:dyDescent="0.2">
      <c r="A258" s="1" t="s">
        <v>285</v>
      </c>
      <c r="B258" s="1" t="s">
        <v>161</v>
      </c>
      <c r="C258" s="1" t="s">
        <v>162</v>
      </c>
    </row>
    <row r="259" spans="1:3" x14ac:dyDescent="0.2">
      <c r="A259" s="2" t="s">
        <v>286</v>
      </c>
      <c r="B259" s="1" t="s">
        <v>161</v>
      </c>
      <c r="C259" s="1" t="s">
        <v>162</v>
      </c>
    </row>
    <row r="260" spans="1:3" x14ac:dyDescent="0.2">
      <c r="A260" s="1" t="s">
        <v>287</v>
      </c>
      <c r="B260" s="1" t="s">
        <v>161</v>
      </c>
      <c r="C260" s="1" t="s">
        <v>162</v>
      </c>
    </row>
    <row r="261" spans="1:3" x14ac:dyDescent="0.2">
      <c r="A261" s="1" t="s">
        <v>288</v>
      </c>
      <c r="B261" s="1" t="s">
        <v>161</v>
      </c>
      <c r="C261" s="1" t="s">
        <v>162</v>
      </c>
    </row>
    <row r="262" spans="1:3" x14ac:dyDescent="0.2">
      <c r="A262" s="1" t="s">
        <v>289</v>
      </c>
      <c r="B262" s="1" t="s">
        <v>161</v>
      </c>
      <c r="C262" s="1" t="s">
        <v>162</v>
      </c>
    </row>
    <row r="263" spans="1:3" x14ac:dyDescent="0.2">
      <c r="A263" s="1" t="s">
        <v>290</v>
      </c>
      <c r="B263" s="1" t="s">
        <v>161</v>
      </c>
      <c r="C263" s="1" t="s">
        <v>162</v>
      </c>
    </row>
    <row r="264" spans="1:3" x14ac:dyDescent="0.2">
      <c r="A264" s="1" t="s">
        <v>291</v>
      </c>
      <c r="B264" s="1" t="s">
        <v>161</v>
      </c>
      <c r="C264" s="1" t="s">
        <v>162</v>
      </c>
    </row>
    <row r="265" spans="1:3" x14ac:dyDescent="0.2">
      <c r="A265" s="1" t="s">
        <v>292</v>
      </c>
      <c r="B265" s="1" t="s">
        <v>161</v>
      </c>
      <c r="C265" s="1" t="s">
        <v>162</v>
      </c>
    </row>
    <row r="266" spans="1:3" x14ac:dyDescent="0.2">
      <c r="A266" s="1" t="s">
        <v>293</v>
      </c>
      <c r="B266" s="1" t="s">
        <v>161</v>
      </c>
      <c r="C266" s="1" t="s">
        <v>162</v>
      </c>
    </row>
    <row r="267" spans="1:3" x14ac:dyDescent="0.2">
      <c r="A267" s="1" t="s">
        <v>294</v>
      </c>
      <c r="B267" s="1" t="s">
        <v>161</v>
      </c>
      <c r="C267" s="1" t="s">
        <v>162</v>
      </c>
    </row>
    <row r="268" spans="1:3" x14ac:dyDescent="0.2">
      <c r="A268" s="1" t="s">
        <v>295</v>
      </c>
      <c r="B268" s="1" t="s">
        <v>161</v>
      </c>
      <c r="C268" s="1" t="s">
        <v>162</v>
      </c>
    </row>
    <row r="269" spans="1:3" x14ac:dyDescent="0.2">
      <c r="A269" s="1" t="s">
        <v>296</v>
      </c>
      <c r="B269" s="1" t="s">
        <v>161</v>
      </c>
      <c r="C269" s="1" t="s">
        <v>162</v>
      </c>
    </row>
    <row r="270" spans="1:3" x14ac:dyDescent="0.2">
      <c r="A270" s="1" t="s">
        <v>297</v>
      </c>
      <c r="B270" s="1" t="s">
        <v>161</v>
      </c>
      <c r="C270" s="1" t="s">
        <v>162</v>
      </c>
    </row>
    <row r="271" spans="1:3" x14ac:dyDescent="0.2">
      <c r="A271" s="1" t="s">
        <v>298</v>
      </c>
      <c r="B271" s="1" t="s">
        <v>204</v>
      </c>
      <c r="C271" s="1" t="s">
        <v>204</v>
      </c>
    </row>
    <row r="272" spans="1:3" x14ac:dyDescent="0.2">
      <c r="A272" s="1" t="s">
        <v>316</v>
      </c>
      <c r="B272" s="1" t="s">
        <v>161</v>
      </c>
      <c r="C272" s="1" t="s">
        <v>162</v>
      </c>
    </row>
    <row r="273" spans="1:3" x14ac:dyDescent="0.2">
      <c r="A273" s="1" t="s">
        <v>302</v>
      </c>
      <c r="B273" s="1" t="s">
        <v>161</v>
      </c>
      <c r="C273" s="1" t="s">
        <v>162</v>
      </c>
    </row>
    <row r="274" spans="1:3" x14ac:dyDescent="0.2">
      <c r="A274" s="1" t="s">
        <v>303</v>
      </c>
      <c r="B274" s="1" t="s">
        <v>161</v>
      </c>
      <c r="C274" s="1" t="s">
        <v>162</v>
      </c>
    </row>
    <row r="275" spans="1:3" x14ac:dyDescent="0.2">
      <c r="A275" s="1" t="s">
        <v>304</v>
      </c>
      <c r="B275" s="1" t="s">
        <v>161</v>
      </c>
      <c r="C275" s="1" t="s">
        <v>162</v>
      </c>
    </row>
    <row r="276" spans="1:3" x14ac:dyDescent="0.2">
      <c r="A276" s="1" t="s">
        <v>305</v>
      </c>
      <c r="B276" s="1" t="s">
        <v>161</v>
      </c>
      <c r="C276" s="1" t="s">
        <v>162</v>
      </c>
    </row>
    <row r="277" spans="1:3" x14ac:dyDescent="0.2">
      <c r="A277" s="1" t="s">
        <v>306</v>
      </c>
      <c r="B277" s="1" t="s">
        <v>161</v>
      </c>
      <c r="C277" s="1" t="s">
        <v>162</v>
      </c>
    </row>
    <row r="278" spans="1:3" x14ac:dyDescent="0.2">
      <c r="A278" s="1" t="s">
        <v>307</v>
      </c>
      <c r="B278" s="1" t="s">
        <v>161</v>
      </c>
      <c r="C278" s="1" t="s">
        <v>162</v>
      </c>
    </row>
    <row r="279" spans="1:3" x14ac:dyDescent="0.2">
      <c r="A279" s="1" t="s">
        <v>308</v>
      </c>
      <c r="B279" s="1" t="s">
        <v>161</v>
      </c>
      <c r="C279" s="1" t="s">
        <v>162</v>
      </c>
    </row>
    <row r="280" spans="1:3" x14ac:dyDescent="0.2">
      <c r="A280" s="1" t="s">
        <v>309</v>
      </c>
      <c r="B280" s="1" t="s">
        <v>161</v>
      </c>
      <c r="C280" s="1" t="s">
        <v>162</v>
      </c>
    </row>
    <row r="281" spans="1:3" x14ac:dyDescent="0.2">
      <c r="A281" s="1" t="s">
        <v>310</v>
      </c>
      <c r="B281" s="1" t="s">
        <v>161</v>
      </c>
      <c r="C281" s="1" t="s">
        <v>162</v>
      </c>
    </row>
    <row r="282" spans="1:3" x14ac:dyDescent="0.2">
      <c r="A282" s="1" t="s">
        <v>311</v>
      </c>
      <c r="B282" s="1" t="s">
        <v>161</v>
      </c>
      <c r="C282" s="1" t="s">
        <v>162</v>
      </c>
    </row>
    <row r="283" spans="1:3" x14ac:dyDescent="0.2">
      <c r="A283" s="1" t="s">
        <v>313</v>
      </c>
      <c r="B283" s="1" t="s">
        <v>161</v>
      </c>
      <c r="C283" s="1" t="s">
        <v>162</v>
      </c>
    </row>
    <row r="284" spans="1:3" x14ac:dyDescent="0.2">
      <c r="A284" s="1" t="s">
        <v>314</v>
      </c>
      <c r="B284" s="1" t="s">
        <v>161</v>
      </c>
      <c r="C284" s="1" t="s">
        <v>162</v>
      </c>
    </row>
    <row r="285" spans="1:3" x14ac:dyDescent="0.2">
      <c r="A285" s="1" t="s">
        <v>315</v>
      </c>
      <c r="B285" s="1" t="s">
        <v>161</v>
      </c>
      <c r="C285" s="1" t="s">
        <v>162</v>
      </c>
    </row>
  </sheetData>
  <autoFilter ref="A1:C239"/>
  <conditionalFormatting sqref="A151:A195">
    <cfRule type="duplicateValues" dxfId="1" priority="2"/>
  </conditionalFormatting>
  <conditionalFormatting sqref="A240:A27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B6" sqref="B6"/>
    </sheetView>
  </sheetViews>
  <sheetFormatPr defaultRowHeight="12.75" x14ac:dyDescent="0.2"/>
  <cols>
    <col min="1" max="1" width="18.28515625" customWidth="1"/>
    <col min="2" max="2" width="13.7109375" bestFit="1" customWidth="1"/>
    <col min="3" max="3" width="14.140625" bestFit="1" customWidth="1"/>
  </cols>
  <sheetData>
    <row r="1" spans="1:3" x14ac:dyDescent="0.2">
      <c r="A1" s="7" t="s">
        <v>222</v>
      </c>
      <c r="B1" s="7" t="s">
        <v>145</v>
      </c>
      <c r="C1" t="s">
        <v>223</v>
      </c>
    </row>
    <row r="2" spans="1:3" x14ac:dyDescent="0.2">
      <c r="A2" s="8" t="s">
        <v>149</v>
      </c>
      <c r="B2" s="8" t="s">
        <v>149</v>
      </c>
      <c r="C2" s="9">
        <v>432.92632325979321</v>
      </c>
    </row>
    <row r="3" spans="1:3" x14ac:dyDescent="0.2">
      <c r="A3" s="8" t="s">
        <v>149</v>
      </c>
      <c r="B3" s="8" t="s">
        <v>217</v>
      </c>
      <c r="C3" s="9">
        <v>286.93484655351733</v>
      </c>
    </row>
    <row r="4" spans="1:3" x14ac:dyDescent="0.2">
      <c r="A4" s="8" t="s">
        <v>149</v>
      </c>
      <c r="B4" s="8" t="s">
        <v>151</v>
      </c>
      <c r="C4" s="9">
        <v>16.6310047132962</v>
      </c>
    </row>
    <row r="5" spans="1:3" x14ac:dyDescent="0.2">
      <c r="A5" s="8" t="s">
        <v>149</v>
      </c>
      <c r="B5" s="8" t="s">
        <v>150</v>
      </c>
      <c r="C5" s="9">
        <v>0.94035555613999766</v>
      </c>
    </row>
    <row r="6" spans="1:3" x14ac:dyDescent="0.2">
      <c r="A6" s="8" t="s">
        <v>209</v>
      </c>
      <c r="B6" s="8" t="s">
        <v>209</v>
      </c>
      <c r="C6" s="9">
        <v>141.72237658397378</v>
      </c>
    </row>
    <row r="7" spans="1:3" x14ac:dyDescent="0.2">
      <c r="A7" s="8" t="s">
        <v>162</v>
      </c>
      <c r="B7" s="8" t="s">
        <v>161</v>
      </c>
      <c r="C7" s="9">
        <v>-527.46967713170443</v>
      </c>
    </row>
    <row r="8" spans="1:3" x14ac:dyDescent="0.2">
      <c r="A8" s="8" t="s">
        <v>162</v>
      </c>
      <c r="B8" s="8" t="s">
        <v>218</v>
      </c>
      <c r="C8" s="9">
        <v>664.80952573320985</v>
      </c>
    </row>
    <row r="9" spans="1:3" x14ac:dyDescent="0.2">
      <c r="A9" s="8" t="s">
        <v>212</v>
      </c>
      <c r="B9" s="8" t="s">
        <v>212</v>
      </c>
      <c r="C9" s="9">
        <v>-20.741646506740167</v>
      </c>
    </row>
    <row r="10" spans="1:3" x14ac:dyDescent="0.2">
      <c r="A10" s="8" t="s">
        <v>204</v>
      </c>
      <c r="B10" s="8" t="s">
        <v>212</v>
      </c>
      <c r="C10" s="9">
        <v>-43.887177620412388</v>
      </c>
    </row>
    <row r="11" spans="1:3" x14ac:dyDescent="0.2">
      <c r="A11" s="8" t="s">
        <v>204</v>
      </c>
      <c r="B11" s="8" t="s">
        <v>206</v>
      </c>
      <c r="C11" s="9">
        <v>-13.950856234036046</v>
      </c>
    </row>
    <row r="12" spans="1:3" x14ac:dyDescent="0.2">
      <c r="A12" s="8" t="s">
        <v>204</v>
      </c>
      <c r="B12" s="8" t="s">
        <v>204</v>
      </c>
      <c r="C12" s="9">
        <v>-75.245074907037733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showGridLines="0" workbookViewId="0">
      <selection activeCell="S19" sqref="S19"/>
    </sheetView>
  </sheetViews>
  <sheetFormatPr defaultRowHeight="12.75" x14ac:dyDescent="0.2"/>
  <cols>
    <col min="1" max="1" width="16" bestFit="1" customWidth="1"/>
    <col min="2" max="2" width="13.7109375" bestFit="1" customWidth="1"/>
  </cols>
  <sheetData>
    <row r="1" spans="1:3" ht="13.5" thickBot="1" x14ac:dyDescent="0.25">
      <c r="A1" s="10" t="s">
        <v>146</v>
      </c>
      <c r="B1" s="10" t="s">
        <v>224</v>
      </c>
      <c r="C1" s="10" t="s">
        <v>225</v>
      </c>
    </row>
    <row r="2" spans="1:3" ht="13.5" thickTop="1" x14ac:dyDescent="0.2">
      <c r="A2" t="str">
        <f>PowerBi_Data!A2</f>
        <v>Base</v>
      </c>
      <c r="B2" t="str">
        <f>PowerBi_Data!B2</f>
        <v>Base</v>
      </c>
      <c r="C2">
        <f>PowerBi_Data!C2</f>
        <v>432.92632325979321</v>
      </c>
    </row>
    <row r="3" spans="1:3" x14ac:dyDescent="0.2">
      <c r="A3" t="str">
        <f>PowerBi_Data!A3</f>
        <v>Base</v>
      </c>
      <c r="B3" t="str">
        <f>PowerBi_Data!B3</f>
        <v>Day of Week</v>
      </c>
      <c r="C3">
        <f>PowerBi_Data!C3</f>
        <v>286.93484655351733</v>
      </c>
    </row>
    <row r="4" spans="1:3" x14ac:dyDescent="0.2">
      <c r="A4" t="str">
        <f>PowerBi_Data!A4</f>
        <v>Base</v>
      </c>
      <c r="B4" t="str">
        <f>PowerBi_Data!B4</f>
        <v>Labor</v>
      </c>
      <c r="C4">
        <f>PowerBi_Data!C4</f>
        <v>16.6310047132962</v>
      </c>
    </row>
    <row r="5" spans="1:3" x14ac:dyDescent="0.2">
      <c r="A5" t="str">
        <f>PowerBi_Data!A5</f>
        <v>Base</v>
      </c>
      <c r="B5" t="str">
        <f>PowerBi_Data!B5</f>
        <v>Operating Hours</v>
      </c>
      <c r="C5">
        <f>PowerBi_Data!C5</f>
        <v>0.94035555613999766</v>
      </c>
    </row>
    <row r="6" spans="1:3" x14ac:dyDescent="0.2">
      <c r="A6" t="str">
        <f>PowerBi_Data!A6</f>
        <v>B3G3</v>
      </c>
      <c r="B6" t="str">
        <f>PowerBi_Data!B6</f>
        <v>B3G3</v>
      </c>
      <c r="C6">
        <f>PowerBi_Data!C6</f>
        <v>141.72237658397378</v>
      </c>
    </row>
    <row r="7" spans="1:3" x14ac:dyDescent="0.2">
      <c r="A7" t="str">
        <f>PowerBi_Data!A7</f>
        <v>Holiday/Seasonality</v>
      </c>
      <c r="B7" t="str">
        <f>PowerBi_Data!B7</f>
        <v>Holiday</v>
      </c>
      <c r="C7">
        <f>PowerBi_Data!C7</f>
        <v>-527.46967713170443</v>
      </c>
    </row>
    <row r="8" spans="1:3" x14ac:dyDescent="0.2">
      <c r="A8" t="str">
        <f>PowerBi_Data!A8</f>
        <v>Holiday/Seasonality</v>
      </c>
      <c r="B8" t="str">
        <f>PowerBi_Data!B8</f>
        <v>Seasonality</v>
      </c>
      <c r="C8">
        <f>PowerBi_Data!C8</f>
        <v>664.80952573320985</v>
      </c>
    </row>
    <row r="9" spans="1:3" x14ac:dyDescent="0.2">
      <c r="A9" t="str">
        <f>PowerBi_Data!A9</f>
        <v>CLX</v>
      </c>
      <c r="B9" t="str">
        <f>PowerBi_Data!B9</f>
        <v>CLX</v>
      </c>
      <c r="C9">
        <f>PowerBi_Data!C9</f>
        <v>-20.741646506740167</v>
      </c>
    </row>
    <row r="10" spans="1:3" x14ac:dyDescent="0.2">
      <c r="A10" t="str">
        <f>PowerBi_Data!A10</f>
        <v>Other Promo</v>
      </c>
      <c r="B10" t="str">
        <f>PowerBi_Data!B10</f>
        <v>CLX</v>
      </c>
      <c r="C10">
        <f>PowerBi_Data!C10</f>
        <v>-43.887177620412388</v>
      </c>
    </row>
    <row r="11" spans="1:3" x14ac:dyDescent="0.2">
      <c r="A11" t="str">
        <f>PowerBi_Data!A11</f>
        <v>Other Promo</v>
      </c>
      <c r="B11" t="str">
        <f>PowerBi_Data!B11</f>
        <v>ES342</v>
      </c>
      <c r="C11">
        <f>PowerBi_Data!C11</f>
        <v>-13.950856234036046</v>
      </c>
    </row>
    <row r="12" spans="1:3" x14ac:dyDescent="0.2">
      <c r="A12" t="str">
        <f>PowerBi_Data!A12</f>
        <v>Other Promo</v>
      </c>
      <c r="B12" t="str">
        <f>PowerBi_Data!B12</f>
        <v>Other Promo</v>
      </c>
      <c r="C12">
        <f>PowerBi_Data!C12</f>
        <v>-75.245074907037733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Alpha_0.1</vt:lpstr>
      <vt:lpstr>Variable Look Up</vt:lpstr>
      <vt:lpstr>PowerBi_Data</vt:lpstr>
      <vt:lpstr>PowerBi_Input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Hinton</dc:creator>
  <cp:lastModifiedBy>Peter Hinton</cp:lastModifiedBy>
  <dcterms:created xsi:type="dcterms:W3CDTF">2018-01-24T11:06:14Z</dcterms:created>
  <dcterms:modified xsi:type="dcterms:W3CDTF">2018-01-24T13:19:02Z</dcterms:modified>
</cp:coreProperties>
</file>